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O" sheetId="1" r:id="rId5"/>
    <sheet state="visible" name="0202" sheetId="2" r:id="rId6"/>
    <sheet state="visible" name="0302" sheetId="3" r:id="rId7"/>
    <sheet state="visible" name="0402" sheetId="4" r:id="rId8"/>
    <sheet state="visible" name="0502" sheetId="5" r:id="rId9"/>
    <sheet state="visible" name="0602" sheetId="6" r:id="rId10"/>
    <sheet state="visible" name="0702" sheetId="7" r:id="rId11"/>
    <sheet state="visible" name="0902" sheetId="8" r:id="rId12"/>
    <sheet state="visible" name="1002" sheetId="9" r:id="rId13"/>
    <sheet state="visible" name="1102" sheetId="10" r:id="rId14"/>
    <sheet state="visible" name="1202" sheetId="11" r:id="rId15"/>
    <sheet state="visible" name="1302" sheetId="12" r:id="rId16"/>
    <sheet state="visible" name="1902" sheetId="13" r:id="rId17"/>
  </sheets>
  <definedNames/>
  <calcPr/>
</workbook>
</file>

<file path=xl/sharedStrings.xml><?xml version="1.0" encoding="utf-8"?>
<sst xmlns="http://schemas.openxmlformats.org/spreadsheetml/2006/main" count="729" uniqueCount="193">
  <si>
    <t>NOBRE MARKETING</t>
  </si>
  <si>
    <t>2026 o ano da expansão, crescimento e novos resultados</t>
  </si>
  <si>
    <t>VENDAS POS VENDA</t>
  </si>
  <si>
    <t>Pagamento</t>
  </si>
  <si>
    <t>NF-e</t>
  </si>
  <si>
    <t>Produtor</t>
  </si>
  <si>
    <t>Estilo de video</t>
  </si>
  <si>
    <t>Empresa</t>
  </si>
  <si>
    <t xml:space="preserve">Nome do cliente </t>
  </si>
  <si>
    <t xml:space="preserve">Telefone </t>
  </si>
  <si>
    <t>Pós venda</t>
  </si>
  <si>
    <t>FERNANDA</t>
  </si>
  <si>
    <t>ANA</t>
  </si>
  <si>
    <t>MIRIÃ</t>
  </si>
  <si>
    <t>LETICIA</t>
  </si>
  <si>
    <t>Entrada</t>
  </si>
  <si>
    <t>POS VENDAS</t>
  </si>
  <si>
    <t>TOTAL PÓS</t>
  </si>
  <si>
    <t>Miria</t>
  </si>
  <si>
    <t>TOTAL DO DIA</t>
  </si>
  <si>
    <t>Pix</t>
  </si>
  <si>
    <t>Personalização</t>
  </si>
  <si>
    <t>Império Embalagens</t>
  </si>
  <si>
    <t>31 8872-3150</t>
  </si>
  <si>
    <t>3D personalizado</t>
  </si>
  <si>
    <t>Israel Otica.</t>
  </si>
  <si>
    <t xml:space="preserve"> 79 9974-2790</t>
  </si>
  <si>
    <t>ANA JULIA</t>
  </si>
  <si>
    <t>nf - 621</t>
  </si>
  <si>
    <t>Pamelah</t>
  </si>
  <si>
    <t>ME LEVA COOP</t>
  </si>
  <si>
    <t>33 9732-2335</t>
  </si>
  <si>
    <t>ME LEVA COOP 2</t>
  </si>
  <si>
    <t>Limpeza DPJ</t>
  </si>
  <si>
    <t>62 9492-2093</t>
  </si>
  <si>
    <t>Cartão</t>
  </si>
  <si>
    <t>Kaua</t>
  </si>
  <si>
    <t>SMARTblocks jingle</t>
  </si>
  <si>
    <t>11 94294-6087</t>
  </si>
  <si>
    <t>Miriã</t>
  </si>
  <si>
    <t>Logo</t>
  </si>
  <si>
    <t>CETELBRAS Educacional</t>
  </si>
  <si>
    <t xml:space="preserve"> 47 9987-7999</t>
  </si>
  <si>
    <t>unifi 00</t>
  </si>
  <si>
    <t>11 99461-6967</t>
  </si>
  <si>
    <t>Mascote</t>
  </si>
  <si>
    <t>THAIS MASCOTE</t>
  </si>
  <si>
    <t>11 99299-8908</t>
  </si>
  <si>
    <t>Edição audio</t>
  </si>
  <si>
    <t>Global locações</t>
  </si>
  <si>
    <t>11 99681-9690</t>
  </si>
  <si>
    <t xml:space="preserve">Pacote </t>
  </si>
  <si>
    <t>Diogo</t>
  </si>
  <si>
    <t>Explainer</t>
  </si>
  <si>
    <t>~Cledson Moreira 2</t>
  </si>
  <si>
    <t>61 9176-5044</t>
  </si>
  <si>
    <t xml:space="preserve">ana julia </t>
  </si>
  <si>
    <t>PACOTE</t>
  </si>
  <si>
    <t>-</t>
  </si>
  <si>
    <t>bandeirantes</t>
  </si>
  <si>
    <t>71 9116-4200</t>
  </si>
  <si>
    <t>SV LOCAÇAO</t>
  </si>
  <si>
    <t>94 9172-5833</t>
  </si>
  <si>
    <t xml:space="preserve">anapaulamegahair </t>
  </si>
  <si>
    <t>(843) 274-1650</t>
  </si>
  <si>
    <t>Paulo Guimarães 5</t>
  </si>
  <si>
    <t>61 8144-3436</t>
  </si>
  <si>
    <t>NF - 511</t>
  </si>
  <si>
    <t>GWS - LOCUÇÃO</t>
  </si>
  <si>
    <t>31 9941-2620</t>
  </si>
  <si>
    <t>Paróquia Divino Espírito Santo</t>
  </si>
  <si>
    <t>71 9243-5403</t>
  </si>
  <si>
    <t>FLAVIA</t>
  </si>
  <si>
    <t>Ronaldo Dias</t>
  </si>
  <si>
    <t xml:space="preserve"> 11 98333-8877</t>
  </si>
  <si>
    <t>Wesley</t>
  </si>
  <si>
    <t>Gotardigas 2</t>
  </si>
  <si>
    <t>11 97777-3733</t>
  </si>
  <si>
    <t>Concretesul Pisos</t>
  </si>
  <si>
    <t>praia do forte</t>
  </si>
  <si>
    <t>21 96457-3175</t>
  </si>
  <si>
    <t>Mãos pela vida consultoria e treinamentos</t>
  </si>
  <si>
    <t>14 99779-9504</t>
  </si>
  <si>
    <t>UAI Guarde Aqui</t>
  </si>
  <si>
    <t>PJC Piscinas 2</t>
  </si>
  <si>
    <t>11 97400-7054</t>
  </si>
  <si>
    <t>NF - 385</t>
  </si>
  <si>
    <t>Leo Alvarenga - pacote</t>
  </si>
  <si>
    <t>73 9936-9701</t>
  </si>
  <si>
    <t>Despachante MODELU’S</t>
  </si>
  <si>
    <t>49 33401836</t>
  </si>
  <si>
    <t xml:space="preserve"> Biri Óleo</t>
  </si>
  <si>
    <t>18 99773-2412</t>
  </si>
  <si>
    <t>Caio Alves</t>
  </si>
  <si>
    <t>Flow</t>
  </si>
  <si>
    <t>Ana Paulla Lopes</t>
  </si>
  <si>
    <t>11 94798-5485</t>
  </si>
  <si>
    <t>Advogado Cláudio</t>
  </si>
  <si>
    <t>21 98784-7440</t>
  </si>
  <si>
    <t xml:space="preserve">fiel clara </t>
  </si>
  <si>
    <t>11 98944-2828</t>
  </si>
  <si>
    <t>Quality clara</t>
  </si>
  <si>
    <t xml:space="preserve">altum clara </t>
  </si>
  <si>
    <t>507 e 508</t>
  </si>
  <si>
    <t>mascotes</t>
  </si>
  <si>
    <t>S.A ALIMENTOS</t>
  </si>
  <si>
    <t>62 9973-4109</t>
  </si>
  <si>
    <t>Laís leonilda</t>
  </si>
  <si>
    <t>Concretesul Pisos 1</t>
  </si>
  <si>
    <t>pacote</t>
  </si>
  <si>
    <t xml:space="preserve">Demetrio </t>
  </si>
  <si>
    <t xml:space="preserve">João do granito </t>
  </si>
  <si>
    <t>75 8207-5958</t>
  </si>
  <si>
    <t>Julia</t>
  </si>
  <si>
    <t>spigtec 4</t>
  </si>
  <si>
    <t>16 99616-4376</t>
  </si>
  <si>
    <t>protect sulf</t>
  </si>
  <si>
    <t>~Michel</t>
  </si>
  <si>
    <t xml:space="preserve"> 11 97412-2072</t>
  </si>
  <si>
    <t>Concretesul Pisos 2</t>
  </si>
  <si>
    <t>Michel logo</t>
  </si>
  <si>
    <t>11 97412-2072</t>
  </si>
  <si>
    <t>formato</t>
  </si>
  <si>
    <t>Autos e Revendas</t>
  </si>
  <si>
    <t>55 45 9983-9345</t>
  </si>
  <si>
    <t>Pacote</t>
  </si>
  <si>
    <t xml:space="preserve">despachante táxi </t>
  </si>
  <si>
    <t>11 94781-4016</t>
  </si>
  <si>
    <t>Concretesul Pisos 3</t>
  </si>
  <si>
    <t>Linda casa ubatuba</t>
  </si>
  <si>
    <t xml:space="preserve">3D </t>
  </si>
  <si>
    <t>Concretesul pisos 4</t>
  </si>
  <si>
    <t>despachante táxi 1</t>
  </si>
  <si>
    <t>mamae canguru 2</t>
  </si>
  <si>
    <t>61 8220-4849</t>
  </si>
  <si>
    <t>Centro Prof  Especial</t>
  </si>
  <si>
    <t xml:space="preserve"> 81 9289-5717</t>
  </si>
  <si>
    <t>Detetive Sávio 5</t>
  </si>
  <si>
    <t xml:space="preserve">Fred Pet </t>
  </si>
  <si>
    <t xml:space="preserve"> 91 8115-6064</t>
  </si>
  <si>
    <t xml:space="preserve">Gabriel </t>
  </si>
  <si>
    <t>~Eduardo Godez</t>
  </si>
  <si>
    <t>69 9282-5501</t>
  </si>
  <si>
    <t>despacahante táxi 2</t>
  </si>
  <si>
    <t>CASTRO E SOUZA</t>
  </si>
  <si>
    <t>11 96797-8902</t>
  </si>
  <si>
    <t>SinalSystem 4</t>
  </si>
  <si>
    <t>11 96252-4007</t>
  </si>
  <si>
    <t>Mais Cabello recife 12</t>
  </si>
  <si>
    <t>81 9684-4697</t>
  </si>
  <si>
    <t>Santuário Nossa Senhora da Saúde</t>
  </si>
  <si>
    <t>27 99664-1971</t>
  </si>
  <si>
    <t>NORABORDO</t>
  </si>
  <si>
    <t>34 9655-0861</t>
  </si>
  <si>
    <t>Adega Sheik</t>
  </si>
  <si>
    <t xml:space="preserve"> 11 96033-4394</t>
  </si>
  <si>
    <t xml:space="preserve"> Bruna Massoterapia *</t>
  </si>
  <si>
    <t xml:space="preserve"> 51 9231-8750</t>
  </si>
  <si>
    <t>trilha do leão</t>
  </si>
  <si>
    <t>12 99647-8319</t>
  </si>
  <si>
    <t>VIDEDO DENTAL</t>
  </si>
  <si>
    <t>27 99964-2705</t>
  </si>
  <si>
    <t>Drogaria Entre Rios</t>
  </si>
  <si>
    <t>95 9124-2356</t>
  </si>
  <si>
    <t>mascote</t>
  </si>
  <si>
    <t>despachante táxi</t>
  </si>
  <si>
    <t>SHAMAH PANIFICADORA</t>
  </si>
  <si>
    <t>15 99748-3730</t>
  </si>
  <si>
    <t>Fernanda</t>
  </si>
  <si>
    <t>INOVEMAX 4</t>
  </si>
  <si>
    <t>49 9951-1083</t>
  </si>
  <si>
    <t>Refri auto 5</t>
  </si>
  <si>
    <t>15 99700-3520</t>
  </si>
  <si>
    <t xml:space="preserve">Moraes Mudanças </t>
  </si>
  <si>
    <t>53 8136-3474</t>
  </si>
  <si>
    <t>FIAT PLUS</t>
  </si>
  <si>
    <t>17 99765-7006</t>
  </si>
  <si>
    <t>FAC SOLAR</t>
  </si>
  <si>
    <t>acess net 1</t>
  </si>
  <si>
    <t>99 8823-3605</t>
  </si>
  <si>
    <t>Antônio Marcelo</t>
  </si>
  <si>
    <t xml:space="preserve">Julio César </t>
  </si>
  <si>
    <t>83 9131-4729</t>
  </si>
  <si>
    <t>Leo Alvarenga 1</t>
  </si>
  <si>
    <t>Leo Alvarenga 2</t>
  </si>
  <si>
    <t>Leo Alvarenga 3</t>
  </si>
  <si>
    <t>Leo Alvarenga 4</t>
  </si>
  <si>
    <t>Leo Alvarenga 5</t>
  </si>
  <si>
    <t>Leo Alvarenga 6</t>
  </si>
  <si>
    <t>Leo Alvarenga 7</t>
  </si>
  <si>
    <t>Fac Solar - logo</t>
  </si>
  <si>
    <t>94 9255-1705</t>
  </si>
  <si>
    <t xml:space="preserve">Detetive Sávio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</si>
</sst>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]#,##0.00"/>
    <numFmt numFmtId="165" formatCode="[$R$ -416]#,##0.00"/>
    <numFmt numFmtId="166" formatCode="&quot;R$&quot;\ #,##0.00;[Red]\-&quot;R$&quot;\ #,##0.00"/>
  </numFmts>
  <fonts count="20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/>
    <font>
      <b/>
      <sz val="12.0"/>
      <color rgb="FFFFFFFF"/>
      <name val="Arial"/>
    </font>
    <font>
      <b/>
      <sz val="24.0"/>
      <color rgb="FFFFD966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b/>
      <color rgb="FFFFFFFF"/>
      <name val="Arial"/>
    </font>
    <font>
      <b/>
      <sz val="12.0"/>
      <color theme="1"/>
      <name val="Arial"/>
    </font>
    <font>
      <b/>
      <color theme="1"/>
      <name val="Arial"/>
    </font>
    <font>
      <b/>
      <sz val="12.0"/>
      <color rgb="FFFFFF00"/>
      <name val="Arial"/>
    </font>
    <font>
      <sz val="10.0"/>
      <color rgb="FF3C4043"/>
      <name val="Arial"/>
    </font>
    <font>
      <color rgb="FF000000"/>
      <name val="Archivo"/>
    </font>
    <font>
      <sz val="11.0"/>
      <color rgb="FF3C4043"/>
      <name val="Archivo"/>
    </font>
    <font>
      <color rgb="FF212529"/>
      <name val="Archivo"/>
    </font>
    <font>
      <sz val="11.0"/>
      <color rgb="FF000000"/>
      <name val="Arial"/>
    </font>
    <font>
      <color rgb="FF000000"/>
      <name val="Arial"/>
    </font>
    <font>
      <color theme="1"/>
      <name val="Arial"/>
      <scheme val="minor"/>
    </font>
    <font>
      <sz val="10.0"/>
      <color rgb="FF333333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C27BA0"/>
        <bgColor rgb="FFC27BA0"/>
      </patternFill>
    </fill>
    <fill>
      <patternFill patternType="solid">
        <fgColor rgb="FFE69138"/>
        <bgColor rgb="FFE69138"/>
      </patternFill>
    </fill>
    <fill>
      <patternFill patternType="solid">
        <fgColor rgb="FF93C47D"/>
        <bgColor rgb="FF93C47D"/>
      </patternFill>
    </fill>
    <fill>
      <patternFill patternType="solid">
        <fgColor rgb="FF4285F4"/>
        <bgColor rgb="FF4285F4"/>
      </patternFill>
    </fill>
    <fill>
      <patternFill patternType="solid">
        <fgColor rgb="FF00FF00"/>
        <bgColor rgb="FF00FF00"/>
      </patternFill>
    </fill>
    <fill>
      <patternFill patternType="solid">
        <fgColor rgb="FF46BDC6"/>
        <bgColor rgb="FF46BDC6"/>
      </patternFill>
    </fill>
    <fill>
      <patternFill patternType="solid">
        <fgColor rgb="FFB6D7A8"/>
        <bgColor rgb="FFB6D7A8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CC0000"/>
        <bgColor rgb="FFCC00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1" numFmtId="164" xfId="0" applyAlignment="1" applyFont="1" applyNumberForma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1" fillId="4" fontId="4" numFmtId="0" xfId="0" applyAlignment="1" applyBorder="1" applyFill="1" applyFont="1">
      <alignment horizontal="center" vertical="bottom"/>
    </xf>
    <xf borderId="4" fillId="5" fontId="5" numFmtId="165" xfId="0" applyAlignment="1" applyBorder="1" applyFill="1" applyFont="1" applyNumberFormat="1">
      <alignment horizontal="center" vertical="bottom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3" fontId="6" numFmtId="0" xfId="0" applyAlignment="1" applyBorder="1" applyFont="1">
      <alignment horizontal="center" vertical="bottom"/>
    </xf>
    <xf borderId="10" fillId="3" fontId="6" numFmtId="165" xfId="0" applyAlignment="1" applyBorder="1" applyFont="1" applyNumberFormat="1">
      <alignment horizontal="center" vertical="bottom"/>
    </xf>
    <xf borderId="10" fillId="3" fontId="6" numFmtId="165" xfId="0" applyAlignment="1" applyBorder="1" applyFont="1" applyNumberFormat="1">
      <alignment vertical="bottom"/>
    </xf>
    <xf borderId="9" fillId="6" fontId="6" numFmtId="0" xfId="0" applyAlignment="1" applyBorder="1" applyFill="1" applyFont="1">
      <alignment horizontal="center" vertical="bottom"/>
    </xf>
    <xf borderId="9" fillId="7" fontId="6" numFmtId="0" xfId="0" applyAlignment="1" applyBorder="1" applyFill="1" applyFont="1">
      <alignment horizontal="center" vertical="bottom"/>
    </xf>
    <xf borderId="9" fillId="8" fontId="6" numFmtId="0" xfId="0" applyAlignment="1" applyBorder="1" applyFill="1" applyFont="1">
      <alignment horizontal="center" vertical="bottom"/>
    </xf>
    <xf borderId="9" fillId="9" fontId="6" numFmtId="0" xfId="0" applyAlignment="1" applyBorder="1" applyFill="1" applyFont="1">
      <alignment horizontal="center" vertical="bottom"/>
    </xf>
    <xf borderId="9" fillId="10" fontId="7" numFmtId="0" xfId="0" applyAlignment="1" applyBorder="1" applyFill="1" applyFont="1">
      <alignment horizontal="center" vertical="bottom"/>
    </xf>
    <xf borderId="0" fillId="2" fontId="1" numFmtId="166" xfId="0" applyAlignment="1" applyFont="1" applyNumberFormat="1">
      <alignment vertical="bottom"/>
    </xf>
    <xf borderId="10" fillId="0" fontId="1" numFmtId="0" xfId="0" applyAlignment="1" applyBorder="1" applyFont="1">
      <alignment vertical="bottom"/>
    </xf>
    <xf borderId="9" fillId="0" fontId="1" numFmtId="165" xfId="0" applyAlignment="1" applyBorder="1" applyFont="1" applyNumberFormat="1">
      <alignment vertical="bottom"/>
    </xf>
    <xf borderId="9" fillId="2" fontId="1" numFmtId="0" xfId="0" applyAlignment="1" applyBorder="1" applyFont="1">
      <alignment vertical="bottom"/>
    </xf>
    <xf borderId="10" fillId="2" fontId="1" numFmtId="0" xfId="0" applyAlignment="1" applyBorder="1" applyFont="1">
      <alignment vertical="bottom"/>
    </xf>
    <xf borderId="10" fillId="0" fontId="1" numFmtId="165" xfId="0" applyAlignment="1" applyBorder="1" applyFont="1" applyNumberFormat="1">
      <alignment readingOrder="0" vertical="bottom"/>
    </xf>
    <xf borderId="9" fillId="6" fontId="1" numFmtId="164" xfId="0" applyAlignment="1" applyBorder="1" applyFont="1" applyNumberFormat="1">
      <alignment horizontal="center" vertical="bottom"/>
    </xf>
    <xf borderId="9" fillId="7" fontId="1" numFmtId="164" xfId="0" applyAlignment="1" applyBorder="1" applyFont="1" applyNumberFormat="1">
      <alignment horizontal="center" vertical="bottom"/>
    </xf>
    <xf borderId="9" fillId="8" fontId="1" numFmtId="164" xfId="0" applyAlignment="1" applyBorder="1" applyFont="1" applyNumberFormat="1">
      <alignment horizontal="center" vertical="bottom"/>
    </xf>
    <xf borderId="9" fillId="9" fontId="1" numFmtId="164" xfId="0" applyAlignment="1" applyBorder="1" applyFont="1" applyNumberFormat="1">
      <alignment horizontal="center" vertical="bottom"/>
    </xf>
    <xf borderId="10" fillId="0" fontId="1" numFmtId="165" xfId="0" applyAlignment="1" applyBorder="1" applyFont="1" applyNumberFormat="1">
      <alignment vertical="bottom"/>
    </xf>
    <xf borderId="0" fillId="11" fontId="8" numFmtId="0" xfId="0" applyAlignment="1" applyFill="1" applyFont="1">
      <alignment horizontal="center" vertical="bottom"/>
    </xf>
    <xf borderId="10" fillId="2" fontId="9" numFmtId="164" xfId="0" applyAlignment="1" applyBorder="1" applyFont="1" applyNumberFormat="1">
      <alignment horizontal="right" vertical="bottom"/>
    </xf>
    <xf borderId="10" fillId="2" fontId="1" numFmtId="165" xfId="0" applyAlignment="1" applyBorder="1" applyFont="1" applyNumberFormat="1">
      <alignment vertical="bottom"/>
    </xf>
    <xf borderId="10" fillId="12" fontId="10" numFmtId="165" xfId="0" applyAlignment="1" applyBorder="1" applyFill="1" applyFont="1" applyNumberFormat="1">
      <alignment horizontal="center" vertical="bottom"/>
    </xf>
    <xf borderId="10" fillId="4" fontId="11" numFmtId="165" xfId="0" applyAlignment="1" applyBorder="1" applyFont="1" applyNumberFormat="1">
      <alignment horizontal="right" vertical="bottom"/>
    </xf>
    <xf borderId="10" fillId="6" fontId="1" numFmtId="164" xfId="0" applyAlignment="1" applyBorder="1" applyFont="1" applyNumberFormat="1">
      <alignment horizontal="center" vertical="bottom"/>
    </xf>
    <xf borderId="10" fillId="7" fontId="1" numFmtId="164" xfId="0" applyAlignment="1" applyBorder="1" applyFont="1" applyNumberFormat="1">
      <alignment horizontal="center" vertical="bottom"/>
    </xf>
    <xf borderId="10" fillId="8" fontId="1" numFmtId="164" xfId="0" applyAlignment="1" applyBorder="1" applyFont="1" applyNumberFormat="1">
      <alignment horizontal="center" vertical="bottom"/>
    </xf>
    <xf borderId="10" fillId="9" fontId="1" numFmtId="164" xfId="0" applyAlignment="1" applyBorder="1" applyFont="1" applyNumberFormat="1">
      <alignment horizontal="center" vertical="bottom"/>
    </xf>
    <xf borderId="9" fillId="2" fontId="1" numFmtId="165" xfId="0" applyAlignment="1" applyBorder="1" applyFont="1" applyNumberFormat="1">
      <alignment vertical="bottom"/>
    </xf>
    <xf borderId="11" fillId="2" fontId="1" numFmtId="0" xfId="0" applyAlignment="1" applyBorder="1" applyFont="1">
      <alignment vertical="bottom"/>
    </xf>
    <xf borderId="12" fillId="2" fontId="1" numFmtId="0" xfId="0" applyAlignment="1" applyBorder="1" applyFont="1">
      <alignment vertical="bottom"/>
    </xf>
    <xf borderId="13" fillId="2" fontId="1" numFmtId="0" xfId="0" applyAlignment="1" applyBorder="1" applyFont="1">
      <alignment vertical="bottom"/>
    </xf>
    <xf borderId="0" fillId="10" fontId="1" numFmtId="164" xfId="0" applyAlignment="1" applyFont="1" applyNumberFormat="1">
      <alignment horizontal="center" vertical="bottom"/>
    </xf>
    <xf borderId="0" fillId="7" fontId="1" numFmtId="164" xfId="0" applyAlignment="1" applyFont="1" applyNumberFormat="1">
      <alignment horizontal="center" vertical="bottom"/>
    </xf>
    <xf borderId="14" fillId="2" fontId="1" numFmtId="0" xfId="0" applyAlignment="1" applyBorder="1" applyFont="1">
      <alignment vertical="bottom"/>
    </xf>
    <xf borderId="15" fillId="2" fontId="1" numFmtId="0" xfId="0" applyAlignment="1" applyBorder="1" applyFont="1">
      <alignment vertical="bottom"/>
    </xf>
    <xf borderId="16" fillId="2" fontId="1" numFmtId="0" xfId="0" applyAlignment="1" applyBorder="1" applyFont="1">
      <alignment vertical="bottom"/>
    </xf>
    <xf borderId="10" fillId="13" fontId="6" numFmtId="165" xfId="0" applyAlignment="1" applyBorder="1" applyFill="1" applyFont="1" applyNumberFormat="1">
      <alignment horizontal="center" vertical="bottom"/>
    </xf>
    <xf borderId="12" fillId="0" fontId="1" numFmtId="0" xfId="0" applyAlignment="1" applyBorder="1" applyFont="1">
      <alignment vertical="bottom"/>
    </xf>
    <xf borderId="0" fillId="10" fontId="1" numFmtId="165" xfId="0" applyAlignment="1" applyFont="1" applyNumberFormat="1">
      <alignment horizontal="center" vertical="bottom"/>
    </xf>
    <xf borderId="10" fillId="0" fontId="10" numFmtId="164" xfId="0" applyAlignment="1" applyBorder="1" applyFont="1" applyNumberFormat="1">
      <alignment horizontal="center" vertical="bottom"/>
    </xf>
    <xf borderId="10" fillId="7" fontId="8" numFmtId="165" xfId="0" applyAlignment="1" applyBorder="1" applyFont="1" applyNumberFormat="1">
      <alignment horizontal="center" vertical="bottom"/>
    </xf>
    <xf borderId="10" fillId="14" fontId="1" numFmtId="165" xfId="0" applyAlignment="1" applyBorder="1" applyFill="1" applyFont="1" applyNumberFormat="1">
      <alignment horizontal="center" vertical="bottom"/>
    </xf>
    <xf borderId="0" fillId="14" fontId="1" numFmtId="165" xfId="0" applyAlignment="1" applyFont="1" applyNumberFormat="1">
      <alignment horizontal="center" vertical="bottom"/>
    </xf>
    <xf borderId="10" fillId="0" fontId="10" numFmtId="165" xfId="0" applyAlignment="1" applyBorder="1" applyFont="1" applyNumberFormat="1">
      <alignment horizontal="center" vertical="bottom"/>
    </xf>
    <xf borderId="10" fillId="2" fontId="10" numFmtId="165" xfId="0" applyAlignment="1" applyBorder="1" applyFont="1" applyNumberFormat="1">
      <alignment horizontal="center" vertical="bottom"/>
    </xf>
    <xf borderId="10" fillId="8" fontId="8" numFmtId="165" xfId="0" applyAlignment="1" applyBorder="1" applyFont="1" applyNumberFormat="1">
      <alignment horizontal="center" readingOrder="0" vertical="bottom"/>
    </xf>
    <xf borderId="0" fillId="0" fontId="1" numFmtId="0" xfId="0" applyAlignment="1" applyFont="1">
      <alignment horizontal="center" vertical="bottom"/>
    </xf>
    <xf borderId="10" fillId="9" fontId="8" numFmtId="165" xfId="0" applyAlignment="1" applyBorder="1" applyFont="1" applyNumberForma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0" fillId="0" fontId="10" numFmtId="164" xfId="0" applyAlignment="1" applyFont="1" applyNumberFormat="1">
      <alignment horizontal="center" vertical="bottom"/>
    </xf>
    <xf borderId="0" fillId="15" fontId="4" numFmtId="0" xfId="0" applyAlignment="1" applyFill="1" applyFont="1">
      <alignment vertical="bottom"/>
    </xf>
    <xf borderId="10" fillId="16" fontId="9" numFmtId="165" xfId="0" applyAlignment="1" applyBorder="1" applyFill="1" applyFont="1" applyNumberFormat="1">
      <alignment horizontal="right" vertical="bottom"/>
    </xf>
    <xf borderId="0" fillId="2" fontId="1" numFmtId="164" xfId="0" applyAlignment="1" applyFont="1" applyNumberFormat="1">
      <alignment vertical="bottom"/>
    </xf>
    <xf borderId="10" fillId="0" fontId="1" numFmtId="0" xfId="0" applyAlignment="1" applyBorder="1" applyFont="1">
      <alignment readingOrder="0" vertical="bottom"/>
    </xf>
    <xf borderId="10" fillId="0" fontId="10" numFmtId="0" xfId="0" applyAlignment="1" applyBorder="1" applyFont="1">
      <alignment vertical="bottom"/>
    </xf>
    <xf borderId="10" fillId="12" fontId="1" numFmtId="0" xfId="0" applyAlignment="1" applyBorder="1" applyFont="1">
      <alignment horizontal="center" readingOrder="0" vertical="bottom"/>
    </xf>
    <xf borderId="10" fillId="2" fontId="12" numFmtId="0" xfId="0" applyAlignment="1" applyBorder="1" applyFont="1">
      <alignment horizontal="center" readingOrder="0"/>
    </xf>
    <xf borderId="9" fillId="6" fontId="1" numFmtId="164" xfId="0" applyAlignment="1" applyBorder="1" applyFont="1" applyNumberFormat="1">
      <alignment vertical="bottom"/>
    </xf>
    <xf borderId="9" fillId="7" fontId="1" numFmtId="164" xfId="0" applyAlignment="1" applyBorder="1" applyFont="1" applyNumberFormat="1">
      <alignment vertical="bottom"/>
    </xf>
    <xf borderId="9" fillId="8" fontId="1" numFmtId="164" xfId="0" applyAlignment="1" applyBorder="1" applyFont="1" applyNumberFormat="1">
      <alignment vertical="bottom"/>
    </xf>
    <xf borderId="9" fillId="9" fontId="1" numFmtId="164" xfId="0" applyAlignment="1" applyBorder="1" applyFont="1" applyNumberFormat="1">
      <alignment readingOrder="0" vertical="bottom"/>
    </xf>
    <xf borderId="10" fillId="3" fontId="1" numFmtId="165" xfId="0" applyAlignment="1" applyBorder="1" applyFont="1" applyNumberFormat="1">
      <alignment readingOrder="0" vertical="bottom"/>
    </xf>
    <xf borderId="10" fillId="12" fontId="1" numFmtId="0" xfId="0" applyAlignment="1" applyBorder="1" applyFont="1">
      <alignment readingOrder="0" vertical="bottom"/>
    </xf>
    <xf borderId="10" fillId="2" fontId="1" numFmtId="0" xfId="0" applyAlignment="1" applyBorder="1" applyFont="1">
      <alignment readingOrder="0" vertical="bottom"/>
    </xf>
    <xf borderId="9" fillId="7" fontId="1" numFmtId="164" xfId="0" applyAlignment="1" applyBorder="1" applyFont="1" applyNumberFormat="1">
      <alignment readingOrder="0" vertical="bottom"/>
    </xf>
    <xf borderId="9" fillId="9" fontId="1" numFmtId="164" xfId="0" applyAlignment="1" applyBorder="1" applyFont="1" applyNumberFormat="1">
      <alignment vertical="bottom"/>
    </xf>
    <xf borderId="10" fillId="0" fontId="10" numFmtId="0" xfId="0" applyAlignment="1" applyBorder="1" applyFont="1">
      <alignment readingOrder="0" vertical="bottom"/>
    </xf>
    <xf borderId="9" fillId="0" fontId="1" numFmtId="165" xfId="0" applyAlignment="1" applyBorder="1" applyFont="1" applyNumberFormat="1">
      <alignment readingOrder="0" vertical="bottom"/>
    </xf>
    <xf borderId="9" fillId="6" fontId="1" numFmtId="164" xfId="0" applyAlignment="1" applyBorder="1" applyFont="1" applyNumberFormat="1">
      <alignment readingOrder="0" vertical="bottom"/>
    </xf>
    <xf borderId="10" fillId="17" fontId="1" numFmtId="165" xfId="0" applyAlignment="1" applyBorder="1" applyFill="1" applyFont="1" applyNumberFormat="1">
      <alignment readingOrder="0" vertical="bottom"/>
    </xf>
    <xf borderId="9" fillId="6" fontId="1" numFmtId="164" xfId="0" applyAlignment="1" applyBorder="1" applyFont="1" applyNumberFormat="1">
      <alignment horizontal="right" readingOrder="0" vertical="bottom"/>
    </xf>
    <xf borderId="10" fillId="17" fontId="1" numFmtId="165" xfId="0" applyAlignment="1" applyBorder="1" applyFont="1" applyNumberFormat="1">
      <alignment horizontal="right" vertical="bottom"/>
    </xf>
    <xf borderId="10" fillId="6" fontId="1" numFmtId="164" xfId="0" applyAlignment="1" applyBorder="1" applyFont="1" applyNumberFormat="1">
      <alignment vertical="bottom"/>
    </xf>
    <xf borderId="10" fillId="7" fontId="1" numFmtId="164" xfId="0" applyAlignment="1" applyBorder="1" applyFont="1" applyNumberFormat="1">
      <alignment vertical="bottom"/>
    </xf>
    <xf borderId="10" fillId="8" fontId="1" numFmtId="164" xfId="0" applyAlignment="1" applyBorder="1" applyFont="1" applyNumberFormat="1">
      <alignment vertical="bottom"/>
    </xf>
    <xf borderId="10" fillId="9" fontId="1" numFmtId="164" xfId="0" applyAlignment="1" applyBorder="1" applyFont="1" applyNumberFormat="1">
      <alignment vertical="bottom"/>
    </xf>
    <xf borderId="0" fillId="10" fontId="1" numFmtId="164" xfId="0" applyAlignment="1" applyFont="1" applyNumberFormat="1">
      <alignment vertical="bottom"/>
    </xf>
    <xf borderId="0" fillId="7" fontId="1" numFmtId="164" xfId="0" applyAlignment="1" applyFont="1" applyNumberFormat="1">
      <alignment vertical="bottom"/>
    </xf>
    <xf borderId="0" fillId="10" fontId="1" numFmtId="165" xfId="0" applyAlignment="1" applyFont="1" applyNumberFormat="1">
      <alignment vertical="bottom"/>
    </xf>
    <xf borderId="10" fillId="14" fontId="1" numFmtId="165" xfId="0" applyAlignment="1" applyBorder="1" applyFont="1" applyNumberFormat="1">
      <alignment vertical="bottom"/>
    </xf>
    <xf borderId="0" fillId="14" fontId="1" numFmtId="165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9" fillId="2" fontId="1" numFmtId="0" xfId="0" applyAlignment="1" applyBorder="1" applyFont="1">
      <alignment readingOrder="0" vertical="bottom"/>
    </xf>
    <xf borderId="10" fillId="18" fontId="1" numFmtId="0" xfId="0" applyAlignment="1" applyBorder="1" applyFill="1" applyFont="1">
      <alignment readingOrder="0" vertical="bottom"/>
    </xf>
    <xf borderId="9" fillId="8" fontId="1" numFmtId="164" xfId="0" applyAlignment="1" applyBorder="1" applyFont="1" applyNumberFormat="1">
      <alignment readingOrder="0" vertical="bottom"/>
    </xf>
    <xf borderId="10" fillId="2" fontId="1" numFmtId="165" xfId="0" applyAlignment="1" applyBorder="1" applyFont="1" applyNumberFormat="1">
      <alignment readingOrder="0" vertical="bottom"/>
    </xf>
    <xf borderId="10" fillId="12" fontId="1" numFmtId="0" xfId="0" applyAlignment="1" applyBorder="1" applyFont="1">
      <alignment horizontal="center" readingOrder="0" vertical="bottom"/>
    </xf>
    <xf borderId="10" fillId="2" fontId="10" numFmtId="0" xfId="0" applyAlignment="1" applyBorder="1" applyFont="1">
      <alignment horizontal="center" readingOrder="0" vertical="bottom"/>
    </xf>
    <xf borderId="10" fillId="8" fontId="8" numFmtId="165" xfId="0" applyAlignment="1" applyBorder="1" applyFont="1" applyNumberFormat="1">
      <alignment horizontal="center" vertical="bottom"/>
    </xf>
    <xf borderId="0" fillId="2" fontId="1" numFmtId="0" xfId="0" applyAlignment="1" applyFont="1">
      <alignment horizontal="center" vertical="bottom"/>
    </xf>
    <xf borderId="0" fillId="6" fontId="13" numFmtId="0" xfId="0" applyAlignment="1" applyFont="1">
      <alignment horizontal="center" readingOrder="0"/>
    </xf>
    <xf borderId="0" fillId="2" fontId="14" numFmtId="0" xfId="0" applyAlignment="1" applyFont="1">
      <alignment readingOrder="0"/>
    </xf>
    <xf borderId="10" fillId="18" fontId="1" numFmtId="0" xfId="0" applyAlignment="1" applyBorder="1" applyFont="1">
      <alignment horizontal="center" readingOrder="0" vertical="bottom"/>
    </xf>
    <xf borderId="0" fillId="12" fontId="15" numFmtId="0" xfId="0" applyAlignment="1" applyFont="1">
      <alignment horizontal="center" readingOrder="0"/>
    </xf>
    <xf borderId="10" fillId="2" fontId="1" numFmtId="0" xfId="0" applyAlignment="1" applyBorder="1" applyFont="1">
      <alignment horizontal="center" readingOrder="0" vertical="bottom"/>
    </xf>
    <xf borderId="10" fillId="6" fontId="1" numFmtId="0" xfId="0" applyAlignment="1" applyBorder="1" applyFont="1">
      <alignment horizontal="center" readingOrder="0" vertical="bottom"/>
    </xf>
    <xf borderId="0" fillId="0" fontId="16" numFmtId="0" xfId="0" applyAlignment="1" applyFont="1">
      <alignment readingOrder="0"/>
    </xf>
    <xf borderId="10" fillId="2" fontId="1" numFmtId="0" xfId="0" applyAlignment="1" applyBorder="1" applyFont="1">
      <alignment horizontal="center" vertical="bottom"/>
    </xf>
    <xf borderId="10" fillId="2" fontId="1" numFmtId="165" xfId="0" applyAlignment="1" applyBorder="1" applyFont="1" applyNumberFormat="1">
      <alignment horizontal="center" vertical="bottom"/>
    </xf>
    <xf borderId="13" fillId="2" fontId="1" numFmtId="0" xfId="0" applyAlignment="1" applyBorder="1" applyFont="1">
      <alignment horizontal="center" vertical="bottom"/>
    </xf>
    <xf borderId="16" fillId="2" fontId="1" numFmtId="0" xfId="0" applyAlignment="1" applyBorder="1" applyFont="1">
      <alignment horizontal="center" vertical="bottom"/>
    </xf>
    <xf borderId="0" fillId="12" fontId="13" numFmtId="0" xfId="0" applyAlignment="1" applyFont="1">
      <alignment readingOrder="0"/>
    </xf>
    <xf borderId="10" fillId="12" fontId="17" numFmtId="0" xfId="0" applyAlignment="1" applyBorder="1" applyFont="1">
      <alignment readingOrder="0" vertical="bottom"/>
    </xf>
    <xf borderId="10" fillId="6" fontId="1" numFmtId="0" xfId="0" applyAlignment="1" applyBorder="1" applyFont="1">
      <alignment readingOrder="0" vertical="bottom"/>
    </xf>
    <xf borderId="9" fillId="8" fontId="1" numFmtId="164" xfId="0" applyAlignment="1" applyBorder="1" applyFont="1" applyNumberFormat="1">
      <alignment horizontal="center" readingOrder="0" vertical="bottom"/>
    </xf>
    <xf borderId="10" fillId="16" fontId="1" numFmtId="0" xfId="0" applyAlignment="1" applyBorder="1" applyFont="1">
      <alignment horizontal="center" readingOrder="0" vertical="bottom"/>
    </xf>
    <xf borderId="0" fillId="12" fontId="15" numFmtId="0" xfId="0" applyAlignment="1" applyFont="1">
      <alignment horizontal="center" readingOrder="0" vertical="bottom"/>
    </xf>
    <xf borderId="0" fillId="2" fontId="18" numFmtId="0" xfId="0" applyAlignment="1" applyFont="1">
      <alignment horizontal="center" readingOrder="0"/>
    </xf>
    <xf borderId="10" fillId="16" fontId="1" numFmtId="0" xfId="0" applyAlignment="1" applyBorder="1" applyFont="1">
      <alignment readingOrder="0" vertical="bottom"/>
    </xf>
    <xf borderId="10" fillId="12" fontId="19" numFmtId="0" xfId="0" applyAlignment="1" applyBorder="1" applyFont="1">
      <alignment horizontal="center" readingOrder="0"/>
    </xf>
    <xf borderId="10" fillId="19" fontId="1" numFmtId="0" xfId="0" applyAlignment="1" applyBorder="1" applyFill="1" applyFont="1">
      <alignment readingOrder="0" vertical="bottom"/>
    </xf>
    <xf borderId="9" fillId="9" fontId="1" numFmtId="164" xfId="0" applyAlignment="1" applyBorder="1" applyFont="1" applyNumberFormat="1">
      <alignment horizontal="center" readingOrder="0" vertical="bottom"/>
    </xf>
    <xf borderId="0" fillId="0" fontId="10" numFmtId="164" xfId="0" applyAlignment="1" applyFont="1" applyNumberFormat="1">
      <alignment horizontal="center" readingOrder="0" vertical="bottom"/>
    </xf>
    <xf borderId="10" fillId="12" fontId="15" numFmtId="0" xfId="0" applyAlignment="1" applyBorder="1" applyFont="1">
      <alignment horizontal="center" readingOrder="0" vertical="bottom"/>
    </xf>
    <xf borderId="10" fillId="2" fontId="14" numFmtId="0" xfId="0" applyAlignment="1" applyBorder="1" applyFont="1">
      <alignment horizontal="center" readingOrder="0"/>
    </xf>
    <xf borderId="9" fillId="6" fontId="1" numFmtId="164" xfId="0" applyAlignment="1" applyBorder="1" applyFont="1" applyNumberFormat="1">
      <alignment horizontal="center" readingOrder="0" vertical="bottom"/>
    </xf>
    <xf borderId="0" fillId="0" fontId="1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63"/>
  </cols>
  <sheetData>
    <row r="1">
      <c r="A1" s="1"/>
      <c r="B1" s="1"/>
      <c r="C1" s="2"/>
      <c r="D1" s="2"/>
      <c r="E1" s="2"/>
      <c r="F1" s="2"/>
      <c r="G1" s="2"/>
      <c r="H1" s="2"/>
      <c r="I1" s="3"/>
      <c r="J1" s="3"/>
      <c r="K1" s="3"/>
      <c r="L1" s="3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7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4" t="s">
        <v>3</v>
      </c>
      <c r="B6" s="15" t="s">
        <v>4</v>
      </c>
      <c r="C6" s="15" t="s">
        <v>5</v>
      </c>
      <c r="D6" s="15" t="s">
        <v>6</v>
      </c>
      <c r="E6" s="15" t="s">
        <v>7</v>
      </c>
      <c r="F6" s="16" t="s">
        <v>8</v>
      </c>
      <c r="G6" s="14" t="s">
        <v>9</v>
      </c>
      <c r="H6" s="14" t="s">
        <v>10</v>
      </c>
      <c r="I6" s="17" t="s">
        <v>11</v>
      </c>
      <c r="J6" s="18" t="s">
        <v>12</v>
      </c>
      <c r="K6" s="19" t="s">
        <v>13</v>
      </c>
      <c r="L6" s="20" t="s">
        <v>14</v>
      </c>
      <c r="M6" s="21" t="s">
        <v>15</v>
      </c>
      <c r="N6" s="2"/>
      <c r="O6" s="2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3"/>
      <c r="B7" s="23"/>
      <c r="C7" s="24"/>
      <c r="D7" s="23"/>
      <c r="E7" s="23"/>
      <c r="F7" s="25"/>
      <c r="G7" s="26"/>
      <c r="H7" s="27"/>
      <c r="I7" s="28"/>
      <c r="J7" s="29"/>
      <c r="K7" s="30"/>
      <c r="L7" s="31"/>
      <c r="M7" s="32"/>
      <c r="N7" s="2"/>
      <c r="O7" s="22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3"/>
      <c r="B8" s="23"/>
      <c r="C8" s="24"/>
      <c r="D8" s="23"/>
      <c r="E8" s="23"/>
      <c r="F8" s="26"/>
      <c r="G8" s="26"/>
      <c r="H8" s="27"/>
      <c r="I8" s="28"/>
      <c r="J8" s="29"/>
      <c r="K8" s="30"/>
      <c r="L8" s="31"/>
      <c r="M8" s="32"/>
      <c r="N8" s="33" t="s">
        <v>16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3"/>
      <c r="B9" s="23"/>
      <c r="C9" s="24"/>
      <c r="D9" s="23"/>
      <c r="E9" s="23"/>
      <c r="F9" s="26"/>
      <c r="G9" s="26"/>
      <c r="H9" s="27"/>
      <c r="I9" s="28"/>
      <c r="J9" s="29"/>
      <c r="K9" s="30"/>
      <c r="L9" s="31"/>
      <c r="M9" s="32"/>
      <c r="N9" s="17" t="s">
        <v>11</v>
      </c>
      <c r="O9" s="34">
        <f>SUM(I6:I95)</f>
        <v>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3"/>
      <c r="B10" s="23"/>
      <c r="C10" s="24"/>
      <c r="D10" s="23"/>
      <c r="E10" s="23"/>
      <c r="F10" s="26"/>
      <c r="G10" s="26"/>
      <c r="H10" s="27"/>
      <c r="I10" s="28"/>
      <c r="J10" s="29"/>
      <c r="K10" s="30"/>
      <c r="L10" s="31"/>
      <c r="M10" s="32"/>
      <c r="N10" s="18" t="s">
        <v>12</v>
      </c>
      <c r="O10" s="34">
        <f>SUM(J7:J95)</f>
        <v>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3"/>
      <c r="B11" s="23"/>
      <c r="C11" s="24"/>
      <c r="D11" s="23"/>
      <c r="E11" s="23"/>
      <c r="F11" s="26"/>
      <c r="G11" s="26"/>
      <c r="H11" s="27"/>
      <c r="I11" s="28"/>
      <c r="J11" s="29"/>
      <c r="K11" s="30"/>
      <c r="L11" s="31"/>
      <c r="M11" s="32"/>
      <c r="N11" s="19" t="s">
        <v>13</v>
      </c>
      <c r="O11" s="34">
        <f>SUM(K7:K96)</f>
        <v>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3"/>
      <c r="B12" s="23"/>
      <c r="C12" s="24"/>
      <c r="D12" s="23"/>
      <c r="E12" s="23"/>
      <c r="F12" s="26"/>
      <c r="G12" s="26"/>
      <c r="H12" s="27"/>
      <c r="I12" s="28"/>
      <c r="J12" s="29"/>
      <c r="K12" s="30"/>
      <c r="L12" s="31"/>
      <c r="M12" s="32"/>
      <c r="N12" s="20" t="s">
        <v>14</v>
      </c>
      <c r="O12" s="34">
        <f>SUM(L7:L96)</f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3"/>
      <c r="B13" s="23"/>
      <c r="C13" s="24"/>
      <c r="D13" s="23"/>
      <c r="E13" s="26"/>
      <c r="F13" s="26"/>
      <c r="G13" s="26"/>
      <c r="H13" s="27"/>
      <c r="I13" s="28"/>
      <c r="J13" s="29"/>
      <c r="K13" s="30"/>
      <c r="L13" s="31"/>
      <c r="M13" s="35"/>
      <c r="N13" s="36" t="s">
        <v>17</v>
      </c>
      <c r="O13" s="37">
        <f>SUM(N8:O12)</f>
        <v>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3"/>
      <c r="B14" s="23"/>
      <c r="C14" s="24"/>
      <c r="D14" s="23"/>
      <c r="E14" s="26"/>
      <c r="F14" s="26"/>
      <c r="G14" s="26"/>
      <c r="H14" s="27"/>
      <c r="I14" s="28"/>
      <c r="J14" s="29"/>
      <c r="K14" s="30"/>
      <c r="L14" s="31"/>
      <c r="M14" s="35"/>
      <c r="N14" s="2"/>
      <c r="O14" s="2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3"/>
      <c r="B15" s="23"/>
      <c r="C15" s="24"/>
      <c r="D15" s="23"/>
      <c r="E15" s="26"/>
      <c r="F15" s="26"/>
      <c r="G15" s="26"/>
      <c r="H15" s="27"/>
      <c r="I15" s="28"/>
      <c r="J15" s="29"/>
      <c r="K15" s="30"/>
      <c r="L15" s="31"/>
      <c r="M15" s="35"/>
      <c r="N15" s="2"/>
      <c r="O15" s="2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3"/>
      <c r="B16" s="23"/>
      <c r="C16" s="24"/>
      <c r="D16" s="23"/>
      <c r="E16" s="26"/>
      <c r="F16" s="26"/>
      <c r="G16" s="26"/>
      <c r="H16" s="27"/>
      <c r="I16" s="28"/>
      <c r="J16" s="29"/>
      <c r="K16" s="30"/>
      <c r="L16" s="31"/>
      <c r="M16" s="35"/>
      <c r="N16" s="2"/>
      <c r="O16" s="2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3"/>
      <c r="B17" s="23"/>
      <c r="C17" s="24"/>
      <c r="D17" s="23"/>
      <c r="E17" s="26"/>
      <c r="F17" s="26"/>
      <c r="G17" s="26"/>
      <c r="H17" s="27"/>
      <c r="I17" s="28"/>
      <c r="J17" s="29"/>
      <c r="K17" s="30"/>
      <c r="L17" s="31"/>
      <c r="M17" s="35"/>
      <c r="N17" s="2"/>
      <c r="O17" s="2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3"/>
      <c r="B18" s="23"/>
      <c r="C18" s="24"/>
      <c r="D18" s="23"/>
      <c r="E18" s="26"/>
      <c r="F18" s="26"/>
      <c r="G18" s="26"/>
      <c r="H18" s="27"/>
      <c r="I18" s="28"/>
      <c r="J18" s="29"/>
      <c r="K18" s="30"/>
      <c r="L18" s="31"/>
      <c r="M18" s="35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3"/>
      <c r="B19" s="23"/>
      <c r="C19" s="24"/>
      <c r="D19" s="23"/>
      <c r="E19" s="26"/>
      <c r="F19" s="26"/>
      <c r="G19" s="26"/>
      <c r="H19" s="27"/>
      <c r="I19" s="28"/>
      <c r="J19" s="29"/>
      <c r="K19" s="30"/>
      <c r="L19" s="31"/>
      <c r="M19" s="3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3"/>
      <c r="B20" s="23"/>
      <c r="C20" s="24"/>
      <c r="D20" s="23"/>
      <c r="E20" s="26"/>
      <c r="F20" s="26"/>
      <c r="G20" s="26"/>
      <c r="H20" s="27"/>
      <c r="I20" s="28"/>
      <c r="J20" s="29"/>
      <c r="K20" s="30"/>
      <c r="L20" s="31"/>
      <c r="M20" s="3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3"/>
      <c r="B21" s="23"/>
      <c r="C21" s="24"/>
      <c r="D21" s="23"/>
      <c r="E21" s="26"/>
      <c r="F21" s="26"/>
      <c r="G21" s="26"/>
      <c r="H21" s="27"/>
      <c r="I21" s="28"/>
      <c r="J21" s="29"/>
      <c r="K21" s="30"/>
      <c r="L21" s="31"/>
      <c r="M21" s="3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3"/>
      <c r="B22" s="23"/>
      <c r="C22" s="24"/>
      <c r="D22" s="23"/>
      <c r="E22" s="26"/>
      <c r="F22" s="26"/>
      <c r="G22" s="26"/>
      <c r="H22" s="27"/>
      <c r="I22" s="28"/>
      <c r="J22" s="29"/>
      <c r="K22" s="30"/>
      <c r="L22" s="31"/>
      <c r="M22" s="3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3"/>
      <c r="B23" s="23"/>
      <c r="C23" s="24"/>
      <c r="D23" s="23"/>
      <c r="E23" s="26"/>
      <c r="F23" s="26"/>
      <c r="G23" s="26"/>
      <c r="H23" s="27"/>
      <c r="I23" s="28"/>
      <c r="J23" s="29"/>
      <c r="K23" s="30"/>
      <c r="L23" s="31"/>
      <c r="M23" s="3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3"/>
      <c r="B24" s="23"/>
      <c r="C24" s="24"/>
      <c r="D24" s="23"/>
      <c r="E24" s="26"/>
      <c r="F24" s="26"/>
      <c r="G24" s="26"/>
      <c r="H24" s="27"/>
      <c r="I24" s="38"/>
      <c r="J24" s="39"/>
      <c r="K24" s="40"/>
      <c r="L24" s="41"/>
      <c r="M24" s="3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3"/>
      <c r="B25" s="23"/>
      <c r="C25" s="24"/>
      <c r="D25" s="23"/>
      <c r="E25" s="26"/>
      <c r="F25" s="26"/>
      <c r="G25" s="26"/>
      <c r="H25" s="27"/>
      <c r="I25" s="38"/>
      <c r="J25" s="39"/>
      <c r="K25" s="40"/>
      <c r="L25" s="41"/>
      <c r="M25" s="3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3"/>
      <c r="B26" s="23"/>
      <c r="C26" s="24"/>
      <c r="D26" s="23"/>
      <c r="E26" s="26"/>
      <c r="F26" s="26"/>
      <c r="G26" s="26"/>
      <c r="H26" s="27"/>
      <c r="I26" s="38"/>
      <c r="J26" s="39"/>
      <c r="K26" s="40"/>
      <c r="L26" s="41"/>
      <c r="M26" s="3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3"/>
      <c r="B27" s="23"/>
      <c r="C27" s="24"/>
      <c r="D27" s="23"/>
      <c r="E27" s="26"/>
      <c r="F27" s="26"/>
      <c r="G27" s="26"/>
      <c r="H27" s="27"/>
      <c r="I27" s="38"/>
      <c r="J27" s="39"/>
      <c r="K27" s="40"/>
      <c r="L27" s="41"/>
      <c r="M27" s="3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3"/>
      <c r="B28" s="23"/>
      <c r="C28" s="24"/>
      <c r="D28" s="23"/>
      <c r="E28" s="26"/>
      <c r="F28" s="26"/>
      <c r="G28" s="26"/>
      <c r="H28" s="27"/>
      <c r="I28" s="38"/>
      <c r="J28" s="39"/>
      <c r="K28" s="40"/>
      <c r="L28" s="41"/>
      <c r="M28" s="35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3"/>
      <c r="B29" s="23"/>
      <c r="C29" s="24"/>
      <c r="D29" s="23"/>
      <c r="E29" s="26"/>
      <c r="F29" s="26"/>
      <c r="G29" s="26"/>
      <c r="H29" s="27"/>
      <c r="I29" s="38"/>
      <c r="J29" s="39"/>
      <c r="K29" s="40"/>
      <c r="L29" s="41"/>
      <c r="M29" s="3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3"/>
      <c r="B30" s="23"/>
      <c r="C30" s="24"/>
      <c r="D30" s="23"/>
      <c r="E30" s="26"/>
      <c r="F30" s="26"/>
      <c r="G30" s="26"/>
      <c r="H30" s="27"/>
      <c r="I30" s="38"/>
      <c r="J30" s="39"/>
      <c r="K30" s="40"/>
      <c r="L30" s="41"/>
      <c r="M30" s="3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3"/>
      <c r="B31" s="23"/>
      <c r="C31" s="24"/>
      <c r="D31" s="23"/>
      <c r="E31" s="26"/>
      <c r="F31" s="26"/>
      <c r="G31" s="26"/>
      <c r="H31" s="27"/>
      <c r="I31" s="38"/>
      <c r="J31" s="39"/>
      <c r="K31" s="40"/>
      <c r="L31" s="41"/>
      <c r="M31" s="3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3"/>
      <c r="B32" s="23"/>
      <c r="C32" s="24"/>
      <c r="D32" s="23"/>
      <c r="E32" s="26"/>
      <c r="F32" s="26"/>
      <c r="G32" s="26"/>
      <c r="H32" s="27"/>
      <c r="I32" s="38"/>
      <c r="J32" s="39"/>
      <c r="K32" s="40"/>
      <c r="L32" s="41"/>
      <c r="M32" s="3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3"/>
      <c r="B33" s="23"/>
      <c r="C33" s="24"/>
      <c r="D33" s="23"/>
      <c r="E33" s="26"/>
      <c r="F33" s="26"/>
      <c r="G33" s="26"/>
      <c r="H33" s="27"/>
      <c r="I33" s="38"/>
      <c r="J33" s="39"/>
      <c r="K33" s="40"/>
      <c r="L33" s="41"/>
      <c r="M33" s="3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3"/>
      <c r="B34" s="23"/>
      <c r="C34" s="24"/>
      <c r="D34" s="23"/>
      <c r="E34" s="26"/>
      <c r="F34" s="26"/>
      <c r="G34" s="26"/>
      <c r="H34" s="27"/>
      <c r="I34" s="38"/>
      <c r="J34" s="39"/>
      <c r="K34" s="40"/>
      <c r="L34" s="41"/>
      <c r="M34" s="3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3"/>
      <c r="B35" s="23"/>
      <c r="C35" s="24"/>
      <c r="D35" s="23"/>
      <c r="E35" s="26"/>
      <c r="F35" s="26"/>
      <c r="G35" s="26"/>
      <c r="H35" s="27"/>
      <c r="I35" s="38"/>
      <c r="J35" s="39"/>
      <c r="K35" s="40"/>
      <c r="L35" s="41"/>
      <c r="M35" s="3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3"/>
      <c r="B36" s="23"/>
      <c r="C36" s="24"/>
      <c r="D36" s="23"/>
      <c r="E36" s="26"/>
      <c r="F36" s="26"/>
      <c r="G36" s="26"/>
      <c r="H36" s="27"/>
      <c r="I36" s="38"/>
      <c r="J36" s="29"/>
      <c r="K36" s="30"/>
      <c r="L36" s="31"/>
      <c r="M36" s="4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3"/>
      <c r="B37" s="23"/>
      <c r="C37" s="24"/>
      <c r="D37" s="23"/>
      <c r="E37" s="26"/>
      <c r="F37" s="26"/>
      <c r="G37" s="26"/>
      <c r="H37" s="27"/>
      <c r="I37" s="38"/>
      <c r="J37" s="29"/>
      <c r="K37" s="30"/>
      <c r="L37" s="31"/>
      <c r="M37" s="4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3"/>
      <c r="B38" s="23"/>
      <c r="C38" s="24"/>
      <c r="D38" s="23"/>
      <c r="E38" s="26"/>
      <c r="F38" s="26"/>
      <c r="G38" s="26"/>
      <c r="H38" s="27"/>
      <c r="I38" s="38"/>
      <c r="J38" s="29"/>
      <c r="K38" s="30"/>
      <c r="L38" s="31"/>
      <c r="M38" s="4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3"/>
      <c r="B39" s="23"/>
      <c r="C39" s="24"/>
      <c r="D39" s="23"/>
      <c r="E39" s="26"/>
      <c r="F39" s="26"/>
      <c r="G39" s="26"/>
      <c r="H39" s="27"/>
      <c r="I39" s="38"/>
      <c r="J39" s="29"/>
      <c r="K39" s="30"/>
      <c r="L39" s="31"/>
      <c r="M39" s="4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3"/>
      <c r="B40" s="23"/>
      <c r="C40" s="24"/>
      <c r="D40" s="23"/>
      <c r="E40" s="26"/>
      <c r="F40" s="26"/>
      <c r="G40" s="26"/>
      <c r="H40" s="27"/>
      <c r="I40" s="38"/>
      <c r="J40" s="29"/>
      <c r="K40" s="30"/>
      <c r="L40" s="31"/>
      <c r="M40" s="4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3"/>
      <c r="B41" s="23"/>
      <c r="C41" s="24"/>
      <c r="D41" s="23"/>
      <c r="E41" s="26"/>
      <c r="F41" s="26"/>
      <c r="G41" s="26"/>
      <c r="H41" s="27"/>
      <c r="I41" s="38"/>
      <c r="J41" s="29"/>
      <c r="K41" s="30"/>
      <c r="L41" s="31"/>
      <c r="M41" s="4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3"/>
      <c r="B42" s="23"/>
      <c r="C42" s="24"/>
      <c r="D42" s="23"/>
      <c r="E42" s="35"/>
      <c r="F42" s="35"/>
      <c r="G42" s="35"/>
      <c r="H42" s="27"/>
      <c r="I42" s="38"/>
      <c r="J42" s="29"/>
      <c r="K42" s="30"/>
      <c r="L42" s="31"/>
      <c r="M42" s="4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3"/>
      <c r="B43" s="23"/>
      <c r="C43" s="24"/>
      <c r="D43" s="23"/>
      <c r="E43" s="26"/>
      <c r="F43" s="26"/>
      <c r="G43" s="26"/>
      <c r="H43" s="27"/>
      <c r="I43" s="38"/>
      <c r="J43" s="29"/>
      <c r="K43" s="30"/>
      <c r="L43" s="31"/>
      <c r="M43" s="4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3"/>
      <c r="B44" s="23"/>
      <c r="C44" s="24"/>
      <c r="D44" s="23"/>
      <c r="E44" s="26"/>
      <c r="F44" s="26"/>
      <c r="G44" s="26"/>
      <c r="H44" s="27"/>
      <c r="I44" s="38"/>
      <c r="J44" s="29"/>
      <c r="K44" s="30"/>
      <c r="L44" s="31"/>
      <c r="M44" s="4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3"/>
      <c r="B45" s="23"/>
      <c r="C45" s="24"/>
      <c r="D45" s="23"/>
      <c r="E45" s="26"/>
      <c r="F45" s="26"/>
      <c r="G45" s="26"/>
      <c r="H45" s="27"/>
      <c r="I45" s="38"/>
      <c r="J45" s="29"/>
      <c r="K45" s="30"/>
      <c r="L45" s="31"/>
      <c r="M45" s="4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3"/>
      <c r="B46" s="23"/>
      <c r="C46" s="24"/>
      <c r="D46" s="23"/>
      <c r="E46" s="26"/>
      <c r="F46" s="26"/>
      <c r="G46" s="26"/>
      <c r="H46" s="27"/>
      <c r="I46" s="28"/>
      <c r="J46" s="29"/>
      <c r="K46" s="30"/>
      <c r="L46" s="31"/>
      <c r="M46" s="4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3"/>
      <c r="B47" s="23"/>
      <c r="C47" s="24"/>
      <c r="D47" s="23"/>
      <c r="E47" s="26"/>
      <c r="F47" s="26"/>
      <c r="G47" s="26"/>
      <c r="H47" s="27"/>
      <c r="I47" s="28"/>
      <c r="J47" s="29"/>
      <c r="K47" s="30"/>
      <c r="L47" s="31"/>
      <c r="M47" s="4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3"/>
      <c r="B48" s="23"/>
      <c r="C48" s="24"/>
      <c r="D48" s="23"/>
      <c r="E48" s="26"/>
      <c r="F48" s="26"/>
      <c r="G48" s="26"/>
      <c r="H48" s="27"/>
      <c r="I48" s="28"/>
      <c r="J48" s="29"/>
      <c r="K48" s="30"/>
      <c r="L48" s="31"/>
      <c r="M48" s="4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3"/>
      <c r="B49" s="23"/>
      <c r="C49" s="24"/>
      <c r="D49" s="23"/>
      <c r="E49" s="26"/>
      <c r="F49" s="26"/>
      <c r="G49" s="26"/>
      <c r="H49" s="27"/>
      <c r="I49" s="28"/>
      <c r="J49" s="29"/>
      <c r="K49" s="30"/>
      <c r="L49" s="31"/>
      <c r="M49" s="4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3"/>
      <c r="B50" s="23"/>
      <c r="C50" s="24"/>
      <c r="D50" s="23"/>
      <c r="E50" s="26"/>
      <c r="F50" s="26"/>
      <c r="G50" s="26"/>
      <c r="H50" s="27"/>
      <c r="I50" s="38"/>
      <c r="J50" s="29"/>
      <c r="K50" s="30"/>
      <c r="L50" s="31"/>
      <c r="M50" s="4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3"/>
      <c r="B51" s="23"/>
      <c r="C51" s="24"/>
      <c r="D51" s="23"/>
      <c r="E51" s="26"/>
      <c r="F51" s="26"/>
      <c r="G51" s="26"/>
      <c r="H51" s="27"/>
      <c r="I51" s="38"/>
      <c r="J51" s="29"/>
      <c r="K51" s="30"/>
      <c r="L51" s="31"/>
      <c r="M51" s="4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3"/>
      <c r="B52" s="23"/>
      <c r="C52" s="24"/>
      <c r="D52" s="23"/>
      <c r="E52" s="26"/>
      <c r="F52" s="26"/>
      <c r="G52" s="26"/>
      <c r="H52" s="27"/>
      <c r="I52" s="38"/>
      <c r="J52" s="29"/>
      <c r="K52" s="30"/>
      <c r="L52" s="31"/>
      <c r="M52" s="4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3"/>
      <c r="B53" s="23"/>
      <c r="C53" s="24"/>
      <c r="D53" s="23"/>
      <c r="E53" s="26"/>
      <c r="F53" s="26"/>
      <c r="G53" s="26"/>
      <c r="H53" s="27"/>
      <c r="I53" s="38"/>
      <c r="J53" s="29"/>
      <c r="K53" s="30"/>
      <c r="L53" s="31"/>
      <c r="M53" s="4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3"/>
      <c r="B54" s="23"/>
      <c r="C54" s="24"/>
      <c r="D54" s="23"/>
      <c r="E54" s="26"/>
      <c r="F54" s="26"/>
      <c r="G54" s="26"/>
      <c r="H54" s="27"/>
      <c r="I54" s="38"/>
      <c r="J54" s="29"/>
      <c r="K54" s="30"/>
      <c r="L54" s="31"/>
      <c r="M54" s="4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3"/>
      <c r="B55" s="23"/>
      <c r="C55" s="24"/>
      <c r="D55" s="23"/>
      <c r="E55" s="26"/>
      <c r="F55" s="26"/>
      <c r="G55" s="26"/>
      <c r="H55" s="27"/>
      <c r="I55" s="38"/>
      <c r="J55" s="29"/>
      <c r="K55" s="30"/>
      <c r="L55" s="31"/>
      <c r="M55" s="4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3"/>
      <c r="B56" s="23"/>
      <c r="C56" s="24"/>
      <c r="D56" s="23"/>
      <c r="E56" s="26"/>
      <c r="F56" s="26"/>
      <c r="G56" s="26"/>
      <c r="H56" s="27"/>
      <c r="I56" s="38"/>
      <c r="J56" s="29"/>
      <c r="K56" s="30"/>
      <c r="L56" s="31"/>
      <c r="M56" s="4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3"/>
      <c r="B57" s="23"/>
      <c r="C57" s="24"/>
      <c r="D57" s="23"/>
      <c r="E57" s="26"/>
      <c r="F57" s="26"/>
      <c r="G57" s="26"/>
      <c r="H57" s="27"/>
      <c r="I57" s="38"/>
      <c r="J57" s="39"/>
      <c r="K57" s="40"/>
      <c r="L57" s="41"/>
      <c r="M57" s="35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3"/>
      <c r="B58" s="23"/>
      <c r="C58" s="24"/>
      <c r="D58" s="23"/>
      <c r="E58" s="26"/>
      <c r="F58" s="26"/>
      <c r="G58" s="26"/>
      <c r="H58" s="27"/>
      <c r="I58" s="38"/>
      <c r="J58" s="29"/>
      <c r="K58" s="30"/>
      <c r="L58" s="31"/>
      <c r="M58" s="4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3"/>
      <c r="B59" s="23"/>
      <c r="C59" s="24"/>
      <c r="D59" s="23"/>
      <c r="E59" s="26"/>
      <c r="F59" s="26"/>
      <c r="G59" s="26"/>
      <c r="H59" s="27"/>
      <c r="I59" s="38"/>
      <c r="J59" s="29"/>
      <c r="K59" s="30"/>
      <c r="L59" s="31"/>
      <c r="M59" s="4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3"/>
      <c r="B60" s="23"/>
      <c r="C60" s="24"/>
      <c r="D60" s="23"/>
      <c r="E60" s="26"/>
      <c r="F60" s="26"/>
      <c r="G60" s="26"/>
      <c r="H60" s="27"/>
      <c r="I60" s="38"/>
      <c r="J60" s="29"/>
      <c r="K60" s="30"/>
      <c r="L60" s="31"/>
      <c r="M60" s="4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3"/>
      <c r="B61" s="23"/>
      <c r="C61" s="24"/>
      <c r="D61" s="23"/>
      <c r="E61" s="26"/>
      <c r="F61" s="26"/>
      <c r="G61" s="26"/>
      <c r="H61" s="27"/>
      <c r="I61" s="38"/>
      <c r="J61" s="29"/>
      <c r="K61" s="30"/>
      <c r="L61" s="31"/>
      <c r="M61" s="4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3"/>
      <c r="B62" s="23"/>
      <c r="C62" s="24"/>
      <c r="D62" s="23"/>
      <c r="E62" s="26"/>
      <c r="F62" s="26"/>
      <c r="G62" s="26"/>
      <c r="H62" s="27"/>
      <c r="I62" s="38"/>
      <c r="J62" s="29"/>
      <c r="K62" s="30"/>
      <c r="L62" s="31"/>
      <c r="M62" s="4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3"/>
      <c r="B63" s="23"/>
      <c r="C63" s="24"/>
      <c r="D63" s="23"/>
      <c r="E63" s="26"/>
      <c r="F63" s="26"/>
      <c r="G63" s="26"/>
      <c r="H63" s="27"/>
      <c r="I63" s="38"/>
      <c r="J63" s="29"/>
      <c r="K63" s="30"/>
      <c r="L63" s="31"/>
      <c r="M63" s="4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3"/>
      <c r="B64" s="23"/>
      <c r="C64" s="24"/>
      <c r="D64" s="23"/>
      <c r="E64" s="26"/>
      <c r="F64" s="26"/>
      <c r="G64" s="26"/>
      <c r="H64" s="27"/>
      <c r="I64" s="38"/>
      <c r="J64" s="29"/>
      <c r="K64" s="30"/>
      <c r="L64" s="31"/>
      <c r="M64" s="4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3"/>
      <c r="B65" s="23"/>
      <c r="C65" s="24"/>
      <c r="D65" s="23"/>
      <c r="E65" s="26"/>
      <c r="F65" s="26"/>
      <c r="G65" s="26"/>
      <c r="H65" s="27"/>
      <c r="I65" s="38"/>
      <c r="J65" s="29"/>
      <c r="K65" s="30"/>
      <c r="L65" s="31"/>
      <c r="M65" s="4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3"/>
      <c r="B66" s="23"/>
      <c r="C66" s="24"/>
      <c r="D66" s="23"/>
      <c r="E66" s="26"/>
      <c r="F66" s="26"/>
      <c r="G66" s="26"/>
      <c r="H66" s="27"/>
      <c r="I66" s="38"/>
      <c r="J66" s="29"/>
      <c r="K66" s="30"/>
      <c r="L66" s="31"/>
      <c r="M66" s="4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3"/>
      <c r="B67" s="23"/>
      <c r="C67" s="24"/>
      <c r="D67" s="23"/>
      <c r="E67" s="26"/>
      <c r="F67" s="26"/>
      <c r="G67" s="26"/>
      <c r="H67" s="27"/>
      <c r="I67" s="38"/>
      <c r="J67" s="29"/>
      <c r="K67" s="30"/>
      <c r="L67" s="31"/>
      <c r="M67" s="4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3"/>
      <c r="B68" s="23"/>
      <c r="C68" s="24"/>
      <c r="D68" s="23"/>
      <c r="E68" s="26"/>
      <c r="F68" s="26"/>
      <c r="G68" s="26"/>
      <c r="H68" s="27"/>
      <c r="I68" s="38"/>
      <c r="J68" s="29"/>
      <c r="K68" s="30"/>
      <c r="L68" s="31"/>
      <c r="M68" s="4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3"/>
      <c r="B69" s="23"/>
      <c r="C69" s="24"/>
      <c r="D69" s="23"/>
      <c r="E69" s="26"/>
      <c r="F69" s="26"/>
      <c r="G69" s="26"/>
      <c r="H69" s="27"/>
      <c r="I69" s="38"/>
      <c r="J69" s="29"/>
      <c r="K69" s="30"/>
      <c r="L69" s="31"/>
      <c r="M69" s="4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3"/>
      <c r="B70" s="23"/>
      <c r="C70" s="24"/>
      <c r="D70" s="23"/>
      <c r="E70" s="26"/>
      <c r="F70" s="26"/>
      <c r="G70" s="26"/>
      <c r="H70" s="27"/>
      <c r="I70" s="38"/>
      <c r="J70" s="29"/>
      <c r="K70" s="30"/>
      <c r="L70" s="31"/>
      <c r="M70" s="4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3"/>
      <c r="B71" s="23"/>
      <c r="C71" s="24"/>
      <c r="D71" s="23"/>
      <c r="E71" s="26"/>
      <c r="F71" s="26"/>
      <c r="G71" s="26"/>
      <c r="H71" s="27"/>
      <c r="I71" s="38"/>
      <c r="J71" s="29"/>
      <c r="K71" s="30"/>
      <c r="L71" s="31"/>
      <c r="M71" s="4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3"/>
      <c r="B72" s="23"/>
      <c r="C72" s="24"/>
      <c r="D72" s="23"/>
      <c r="E72" s="26"/>
      <c r="F72" s="26"/>
      <c r="G72" s="26"/>
      <c r="H72" s="27"/>
      <c r="I72" s="38"/>
      <c r="J72" s="29"/>
      <c r="K72" s="30"/>
      <c r="L72" s="31"/>
      <c r="M72" s="4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3"/>
      <c r="B73" s="23"/>
      <c r="C73" s="24"/>
      <c r="D73" s="23"/>
      <c r="E73" s="26"/>
      <c r="F73" s="26"/>
      <c r="G73" s="26"/>
      <c r="H73" s="27"/>
      <c r="I73" s="38"/>
      <c r="J73" s="39"/>
      <c r="K73" s="40"/>
      <c r="L73" s="41"/>
      <c r="M73" s="35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3"/>
      <c r="B74" s="23"/>
      <c r="C74" s="24"/>
      <c r="D74" s="23"/>
      <c r="E74" s="26"/>
      <c r="F74" s="26"/>
      <c r="G74" s="26"/>
      <c r="H74" s="27"/>
      <c r="I74" s="38"/>
      <c r="J74" s="29"/>
      <c r="K74" s="30"/>
      <c r="L74" s="31"/>
      <c r="M74" s="4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3"/>
      <c r="B75" s="23"/>
      <c r="C75" s="24"/>
      <c r="D75" s="23"/>
      <c r="E75" s="26"/>
      <c r="F75" s="26"/>
      <c r="G75" s="26"/>
      <c r="H75" s="27"/>
      <c r="I75" s="38"/>
      <c r="J75" s="29"/>
      <c r="K75" s="30"/>
      <c r="L75" s="31"/>
      <c r="M75" s="4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3"/>
      <c r="B76" s="23"/>
      <c r="C76" s="24"/>
      <c r="D76" s="23"/>
      <c r="E76" s="26"/>
      <c r="F76" s="26"/>
      <c r="G76" s="26"/>
      <c r="H76" s="27"/>
      <c r="I76" s="38"/>
      <c r="J76" s="29"/>
      <c r="K76" s="30"/>
      <c r="L76" s="31"/>
      <c r="M76" s="4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3"/>
      <c r="B77" s="23"/>
      <c r="C77" s="24"/>
      <c r="D77" s="23"/>
      <c r="E77" s="26"/>
      <c r="F77" s="26"/>
      <c r="G77" s="26"/>
      <c r="H77" s="27"/>
      <c r="I77" s="38"/>
      <c r="J77" s="29"/>
      <c r="K77" s="30"/>
      <c r="L77" s="31"/>
      <c r="M77" s="4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3"/>
      <c r="B78" s="23"/>
      <c r="C78" s="24"/>
      <c r="D78" s="23"/>
      <c r="E78" s="26"/>
      <c r="F78" s="26"/>
      <c r="G78" s="26"/>
      <c r="H78" s="27"/>
      <c r="I78" s="38"/>
      <c r="J78" s="29"/>
      <c r="K78" s="30"/>
      <c r="L78" s="31"/>
      <c r="M78" s="4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3"/>
      <c r="B79" s="23"/>
      <c r="C79" s="24"/>
      <c r="D79" s="23"/>
      <c r="E79" s="26"/>
      <c r="F79" s="26"/>
      <c r="G79" s="26"/>
      <c r="H79" s="27"/>
      <c r="I79" s="38"/>
      <c r="J79" s="29"/>
      <c r="K79" s="30"/>
      <c r="L79" s="31"/>
      <c r="M79" s="4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3"/>
      <c r="B80" s="23"/>
      <c r="C80" s="24"/>
      <c r="D80" s="23"/>
      <c r="E80" s="26"/>
      <c r="F80" s="26"/>
      <c r="G80" s="26"/>
      <c r="H80" s="27"/>
      <c r="I80" s="38"/>
      <c r="J80" s="39"/>
      <c r="K80" s="40"/>
      <c r="L80" s="41"/>
      <c r="M80" s="35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3"/>
      <c r="B81" s="23"/>
      <c r="C81" s="24"/>
      <c r="D81" s="23"/>
      <c r="E81" s="26"/>
      <c r="F81" s="26"/>
      <c r="G81" s="26"/>
      <c r="H81" s="27"/>
      <c r="I81" s="38"/>
      <c r="J81" s="29"/>
      <c r="K81" s="30"/>
      <c r="L81" s="31"/>
      <c r="M81" s="4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3"/>
      <c r="B82" s="23"/>
      <c r="C82" s="24"/>
      <c r="D82" s="23"/>
      <c r="E82" s="26"/>
      <c r="F82" s="26"/>
      <c r="G82" s="26"/>
      <c r="H82" s="27"/>
      <c r="I82" s="38"/>
      <c r="J82" s="29"/>
      <c r="K82" s="30"/>
      <c r="L82" s="31"/>
      <c r="M82" s="4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3"/>
      <c r="B83" s="23"/>
      <c r="C83" s="24"/>
      <c r="D83" s="23"/>
      <c r="E83" s="26"/>
      <c r="F83" s="26"/>
      <c r="G83" s="26"/>
      <c r="H83" s="27"/>
      <c r="I83" s="38"/>
      <c r="J83" s="39"/>
      <c r="K83" s="40"/>
      <c r="L83" s="41"/>
      <c r="M83" s="35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3"/>
      <c r="B84" s="23"/>
      <c r="C84" s="24"/>
      <c r="D84" s="23"/>
      <c r="E84" s="26"/>
      <c r="F84" s="26"/>
      <c r="G84" s="26"/>
      <c r="H84" s="27"/>
      <c r="I84" s="38"/>
      <c r="J84" s="39"/>
      <c r="K84" s="40"/>
      <c r="L84" s="41"/>
      <c r="M84" s="35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3"/>
      <c r="B85" s="23"/>
      <c r="C85" s="24"/>
      <c r="D85" s="23"/>
      <c r="E85" s="26"/>
      <c r="F85" s="26"/>
      <c r="G85" s="26"/>
      <c r="H85" s="27"/>
      <c r="I85" s="38"/>
      <c r="J85" s="39"/>
      <c r="K85" s="40"/>
      <c r="L85" s="41"/>
      <c r="M85" s="35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3"/>
      <c r="B86" s="23"/>
      <c r="C86" s="24"/>
      <c r="D86" s="23"/>
      <c r="E86" s="26"/>
      <c r="F86" s="26"/>
      <c r="G86" s="26"/>
      <c r="H86" s="27"/>
      <c r="I86" s="38"/>
      <c r="J86" s="39"/>
      <c r="K86" s="40"/>
      <c r="L86" s="41"/>
      <c r="M86" s="35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3"/>
      <c r="B87" s="23"/>
      <c r="C87" s="24"/>
      <c r="D87" s="23"/>
      <c r="E87" s="26"/>
      <c r="F87" s="26"/>
      <c r="G87" s="26"/>
      <c r="H87" s="27"/>
      <c r="I87" s="38"/>
      <c r="J87" s="39"/>
      <c r="K87" s="40"/>
      <c r="L87" s="41"/>
      <c r="M87" s="35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3"/>
      <c r="B88" s="23"/>
      <c r="C88" s="24"/>
      <c r="D88" s="23"/>
      <c r="E88" s="26"/>
      <c r="F88" s="26"/>
      <c r="G88" s="26"/>
      <c r="H88" s="27"/>
      <c r="I88" s="38"/>
      <c r="J88" s="39"/>
      <c r="K88" s="40"/>
      <c r="L88" s="41"/>
      <c r="M88" s="35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3"/>
      <c r="B89" s="23"/>
      <c r="C89" s="24"/>
      <c r="D89" s="23"/>
      <c r="E89" s="26"/>
      <c r="F89" s="26"/>
      <c r="G89" s="26"/>
      <c r="H89" s="27"/>
      <c r="I89" s="38"/>
      <c r="J89" s="39"/>
      <c r="K89" s="40"/>
      <c r="L89" s="41"/>
      <c r="M89" s="35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3"/>
      <c r="B90" s="23"/>
      <c r="C90" s="24"/>
      <c r="D90" s="23"/>
      <c r="E90" s="26"/>
      <c r="F90" s="26"/>
      <c r="G90" s="26"/>
      <c r="H90" s="27"/>
      <c r="I90" s="38"/>
      <c r="J90" s="39"/>
      <c r="K90" s="40"/>
      <c r="L90" s="41"/>
      <c r="M90" s="35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3"/>
      <c r="B91" s="23"/>
      <c r="C91" s="24"/>
      <c r="D91" s="23"/>
      <c r="E91" s="26"/>
      <c r="F91" s="26"/>
      <c r="G91" s="26"/>
      <c r="H91" s="27"/>
      <c r="I91" s="38"/>
      <c r="J91" s="39"/>
      <c r="K91" s="40"/>
      <c r="L91" s="41"/>
      <c r="M91" s="35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3"/>
      <c r="B92" s="23"/>
      <c r="C92" s="24"/>
      <c r="D92" s="23"/>
      <c r="E92" s="26"/>
      <c r="F92" s="26"/>
      <c r="G92" s="26"/>
      <c r="H92" s="27"/>
      <c r="I92" s="38"/>
      <c r="J92" s="39"/>
      <c r="K92" s="40"/>
      <c r="L92" s="41"/>
      <c r="M92" s="35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3"/>
      <c r="B93" s="23"/>
      <c r="C93" s="24"/>
      <c r="D93" s="23"/>
      <c r="E93" s="26"/>
      <c r="F93" s="26"/>
      <c r="G93" s="26"/>
      <c r="H93" s="27"/>
      <c r="I93" s="38"/>
      <c r="J93" s="39"/>
      <c r="K93" s="40"/>
      <c r="L93" s="41"/>
      <c r="M93" s="35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3"/>
      <c r="B94" s="23"/>
      <c r="C94" s="24"/>
      <c r="D94" s="23"/>
      <c r="E94" s="26"/>
      <c r="F94" s="26"/>
      <c r="G94" s="26"/>
      <c r="H94" s="27"/>
      <c r="I94" s="38"/>
      <c r="J94" s="39"/>
      <c r="K94" s="40"/>
      <c r="L94" s="41"/>
      <c r="M94" s="35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3"/>
      <c r="B95" s="23"/>
      <c r="C95" s="24"/>
      <c r="D95" s="23"/>
      <c r="E95" s="26"/>
      <c r="F95" s="26"/>
      <c r="G95" s="26"/>
      <c r="H95" s="27"/>
      <c r="I95" s="38"/>
      <c r="J95" s="39"/>
      <c r="K95" s="40"/>
      <c r="L95" s="41"/>
      <c r="M95" s="35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2"/>
      <c r="B96" s="1"/>
      <c r="C96" s="43"/>
      <c r="D96" s="44"/>
      <c r="E96" s="45"/>
      <c r="F96" s="2"/>
      <c r="G96" s="2"/>
      <c r="H96" s="2"/>
      <c r="I96" s="46"/>
      <c r="J96" s="47"/>
      <c r="K96" s="40"/>
      <c r="L96" s="41"/>
      <c r="M96" s="35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/>
      <c r="B97" s="1"/>
      <c r="C97" s="48"/>
      <c r="D97" s="49"/>
      <c r="E97" s="50"/>
      <c r="F97" s="2"/>
      <c r="G97" s="2"/>
      <c r="H97" s="2"/>
      <c r="I97" s="46"/>
      <c r="J97" s="46"/>
      <c r="K97" s="46"/>
      <c r="L97" s="46"/>
      <c r="M97" s="51">
        <f>SUM(M7:M96)</f>
        <v>0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/>
      <c r="B98" s="52"/>
      <c r="C98" s="43"/>
      <c r="D98" s="2"/>
      <c r="E98" s="2"/>
      <c r="F98" s="2"/>
      <c r="G98" s="2"/>
      <c r="H98" s="2"/>
      <c r="I98" s="46"/>
      <c r="J98" s="46"/>
      <c r="K98" s="46"/>
      <c r="L98" s="46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43"/>
      <c r="D99" s="2"/>
      <c r="E99" s="2"/>
      <c r="F99" s="2"/>
      <c r="G99" s="2"/>
      <c r="H99" s="2"/>
      <c r="I99" s="53"/>
      <c r="J99" s="46"/>
      <c r="K99" s="46"/>
      <c r="L99" s="46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2"/>
      <c r="D100" s="2"/>
      <c r="E100" s="2"/>
      <c r="F100" s="2"/>
      <c r="G100" s="2"/>
      <c r="H100" s="2"/>
      <c r="I100" s="46"/>
      <c r="J100" s="53"/>
      <c r="K100" s="53"/>
      <c r="L100" s="53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2"/>
      <c r="D101" s="2"/>
      <c r="E101" s="2"/>
      <c r="F101" s="2"/>
      <c r="G101" s="2"/>
      <c r="H101" s="2"/>
      <c r="I101" s="46"/>
      <c r="J101" s="46"/>
      <c r="K101" s="46"/>
      <c r="L101" s="46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2"/>
      <c r="D102" s="2"/>
      <c r="E102" s="2"/>
      <c r="F102" s="2"/>
      <c r="G102" s="2"/>
      <c r="H102" s="2"/>
      <c r="I102" s="46"/>
      <c r="J102" s="46"/>
      <c r="K102" s="46"/>
      <c r="L102" s="46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2"/>
      <c r="D103" s="2"/>
      <c r="E103" s="2"/>
      <c r="F103" s="2"/>
      <c r="G103" s="2"/>
      <c r="H103" s="2"/>
      <c r="I103" s="46"/>
      <c r="J103" s="46"/>
      <c r="K103" s="46"/>
      <c r="L103" s="46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2"/>
      <c r="D104" s="2"/>
      <c r="E104" s="2"/>
      <c r="F104" s="2"/>
      <c r="G104" s="2"/>
      <c r="H104" s="2"/>
      <c r="I104" s="46"/>
      <c r="J104" s="46"/>
      <c r="K104" s="46"/>
      <c r="L104" s="46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2"/>
      <c r="D105" s="2"/>
      <c r="E105" s="2"/>
      <c r="F105" s="2"/>
      <c r="G105" s="2"/>
      <c r="H105" s="2"/>
      <c r="I105" s="17" t="s">
        <v>11</v>
      </c>
      <c r="J105" s="46"/>
      <c r="K105" s="46"/>
      <c r="L105" s="46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2"/>
      <c r="D106" s="2"/>
      <c r="E106" s="2"/>
      <c r="F106" s="2"/>
      <c r="G106" s="2"/>
      <c r="H106" s="2"/>
      <c r="I106" s="54">
        <f>SUM(I7:I96)</f>
        <v>0</v>
      </c>
      <c r="J106" s="55" t="s">
        <v>12</v>
      </c>
      <c r="K106" s="56"/>
      <c r="L106" s="57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2"/>
      <c r="D107" s="2"/>
      <c r="E107" s="2"/>
      <c r="F107" s="2"/>
      <c r="G107" s="2"/>
      <c r="H107" s="2"/>
      <c r="I107" s="58">
        <f>SUM(I106*2%)</f>
        <v>0</v>
      </c>
      <c r="J107" s="59">
        <f>SUM(J7:J96)</f>
        <v>0</v>
      </c>
      <c r="K107" s="60" t="s">
        <v>18</v>
      </c>
      <c r="L107" s="57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61"/>
      <c r="J108" s="54">
        <f>SUM(J107*2%)</f>
        <v>0</v>
      </c>
      <c r="K108" s="54">
        <f>SUM(K7:K96)</f>
        <v>0</v>
      </c>
      <c r="L108" s="62" t="s">
        <v>14</v>
      </c>
      <c r="M108" s="3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61"/>
      <c r="J109" s="63"/>
      <c r="K109" s="58">
        <f>SUM(K108*2%)</f>
        <v>0</v>
      </c>
      <c r="L109" s="64">
        <f>SUM(L8:L97)</f>
        <v>0</v>
      </c>
      <c r="M109" s="65" t="s">
        <v>19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61"/>
      <c r="J110" s="61"/>
      <c r="K110" s="61"/>
      <c r="L110" s="58">
        <f>SUM(L109*2%)</f>
        <v>0</v>
      </c>
      <c r="M110" s="66">
        <f>SUM(M97)</f>
        <v>0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61"/>
      <c r="J111" s="61"/>
      <c r="K111" s="61"/>
      <c r="L111" s="6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61"/>
      <c r="J112" s="61"/>
      <c r="K112" s="61"/>
      <c r="L112" s="6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61"/>
      <c r="J113" s="61"/>
      <c r="K113" s="61"/>
      <c r="L113" s="6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61"/>
      <c r="J114" s="61"/>
      <c r="K114" s="61"/>
      <c r="L114" s="6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61"/>
      <c r="J115" s="61"/>
      <c r="K115" s="61"/>
      <c r="L115" s="6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61"/>
      <c r="J116" s="61"/>
      <c r="K116" s="61"/>
      <c r="L116" s="6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61"/>
      <c r="J117" s="61"/>
      <c r="K117" s="61"/>
      <c r="L117" s="6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61"/>
      <c r="J118" s="61"/>
      <c r="K118" s="61"/>
      <c r="L118" s="6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61"/>
      <c r="J119" s="61"/>
      <c r="K119" s="61"/>
      <c r="L119" s="6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61"/>
      <c r="J120" s="61"/>
      <c r="K120" s="61"/>
      <c r="L120" s="6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61"/>
      <c r="J121" s="61"/>
      <c r="K121" s="61"/>
      <c r="L121" s="6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61"/>
      <c r="J122" s="61"/>
      <c r="K122" s="61"/>
      <c r="L122" s="6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61"/>
      <c r="J123" s="61"/>
      <c r="K123" s="61"/>
      <c r="L123" s="6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61"/>
      <c r="J124" s="61"/>
      <c r="K124" s="61"/>
      <c r="L124" s="6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61"/>
      <c r="J125" s="61"/>
      <c r="K125" s="61"/>
      <c r="L125" s="6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61"/>
      <c r="J126" s="61"/>
      <c r="K126" s="61"/>
      <c r="L126" s="6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61"/>
      <c r="J127" s="61"/>
      <c r="K127" s="61"/>
      <c r="L127" s="6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61"/>
      <c r="J128" s="61"/>
      <c r="K128" s="61"/>
      <c r="L128" s="6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61"/>
      <c r="J129" s="61"/>
      <c r="K129" s="61"/>
      <c r="L129" s="6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61"/>
      <c r="J130" s="61"/>
      <c r="K130" s="61"/>
      <c r="L130" s="6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61"/>
      <c r="J131" s="61"/>
      <c r="K131" s="61"/>
      <c r="L131" s="6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61"/>
      <c r="J132" s="61"/>
      <c r="K132" s="61"/>
      <c r="L132" s="6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61"/>
      <c r="J133" s="61"/>
      <c r="K133" s="61"/>
      <c r="L133" s="6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61"/>
      <c r="J134" s="61"/>
      <c r="K134" s="61"/>
      <c r="L134" s="6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61"/>
      <c r="J135" s="61"/>
      <c r="K135" s="61"/>
      <c r="L135" s="6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61"/>
      <c r="J136" s="61"/>
      <c r="K136" s="61"/>
      <c r="L136" s="6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61"/>
      <c r="J137" s="61"/>
      <c r="K137" s="61"/>
      <c r="L137" s="6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61"/>
      <c r="J138" s="61"/>
      <c r="K138" s="61"/>
      <c r="L138" s="6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61"/>
      <c r="J139" s="61"/>
      <c r="K139" s="61"/>
      <c r="L139" s="6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61"/>
      <c r="J140" s="61"/>
      <c r="K140" s="61"/>
      <c r="L140" s="6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61"/>
      <c r="J141" s="61"/>
      <c r="K141" s="61"/>
      <c r="L141" s="6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61"/>
      <c r="J142" s="61"/>
      <c r="K142" s="61"/>
      <c r="L142" s="6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61"/>
      <c r="J143" s="61"/>
      <c r="K143" s="61"/>
      <c r="L143" s="6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61"/>
      <c r="J144" s="61"/>
      <c r="K144" s="61"/>
      <c r="L144" s="6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61"/>
      <c r="J145" s="61"/>
      <c r="K145" s="61"/>
      <c r="L145" s="6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61"/>
      <c r="J146" s="61"/>
      <c r="K146" s="61"/>
      <c r="L146" s="6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61"/>
      <c r="J147" s="61"/>
      <c r="K147" s="61"/>
      <c r="L147" s="6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61"/>
      <c r="J148" s="61"/>
      <c r="K148" s="61"/>
      <c r="L148" s="6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61"/>
      <c r="J149" s="61"/>
      <c r="K149" s="61"/>
      <c r="L149" s="6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61"/>
      <c r="J150" s="61"/>
      <c r="K150" s="61"/>
      <c r="L150" s="6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61"/>
      <c r="J151" s="61"/>
      <c r="K151" s="61"/>
      <c r="L151" s="6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61"/>
      <c r="J152" s="61"/>
      <c r="K152" s="61"/>
      <c r="L152" s="6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61"/>
      <c r="J153" s="61"/>
      <c r="K153" s="61"/>
      <c r="L153" s="6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61"/>
      <c r="J154" s="61"/>
      <c r="K154" s="61"/>
      <c r="L154" s="6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61"/>
      <c r="J155" s="61"/>
      <c r="K155" s="61"/>
      <c r="L155" s="6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61"/>
      <c r="J156" s="61"/>
      <c r="K156" s="61"/>
      <c r="L156" s="6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61"/>
      <c r="J157" s="61"/>
      <c r="K157" s="61"/>
      <c r="L157" s="6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61"/>
      <c r="J158" s="61"/>
      <c r="K158" s="61"/>
      <c r="L158" s="6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61"/>
      <c r="J159" s="61"/>
      <c r="K159" s="61"/>
      <c r="L159" s="6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61"/>
      <c r="J160" s="61"/>
      <c r="K160" s="61"/>
      <c r="L160" s="6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61"/>
      <c r="J161" s="61"/>
      <c r="K161" s="61"/>
      <c r="L161" s="6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61"/>
      <c r="J162" s="61"/>
      <c r="K162" s="61"/>
      <c r="L162" s="6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61"/>
      <c r="J163" s="61"/>
      <c r="K163" s="61"/>
      <c r="L163" s="6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61"/>
      <c r="J164" s="61"/>
      <c r="K164" s="61"/>
      <c r="L164" s="6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61"/>
      <c r="J165" s="61"/>
      <c r="K165" s="61"/>
      <c r="L165" s="6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61"/>
      <c r="J166" s="61"/>
      <c r="K166" s="61"/>
      <c r="L166" s="6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61"/>
      <c r="J167" s="61"/>
      <c r="K167" s="61"/>
      <c r="L167" s="6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61"/>
      <c r="J168" s="61"/>
      <c r="K168" s="61"/>
      <c r="L168" s="6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61"/>
      <c r="J169" s="61"/>
      <c r="K169" s="61"/>
      <c r="L169" s="6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61"/>
      <c r="J170" s="61"/>
      <c r="K170" s="61"/>
      <c r="L170" s="6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61"/>
      <c r="J171" s="61"/>
      <c r="K171" s="61"/>
      <c r="L171" s="6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61"/>
      <c r="J172" s="61"/>
      <c r="K172" s="61"/>
      <c r="L172" s="6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61"/>
      <c r="J173" s="61"/>
      <c r="K173" s="61"/>
      <c r="L173" s="6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61"/>
      <c r="J174" s="61"/>
      <c r="K174" s="61"/>
      <c r="L174" s="6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61"/>
      <c r="J175" s="61"/>
      <c r="K175" s="61"/>
      <c r="L175" s="6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61"/>
      <c r="J176" s="61"/>
      <c r="K176" s="61"/>
      <c r="L176" s="6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61"/>
      <c r="J177" s="61"/>
      <c r="K177" s="61"/>
      <c r="L177" s="6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61"/>
      <c r="J178" s="61"/>
      <c r="K178" s="61"/>
      <c r="L178" s="6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61"/>
      <c r="J179" s="61"/>
      <c r="K179" s="61"/>
      <c r="L179" s="6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61"/>
      <c r="J180" s="61"/>
      <c r="K180" s="61"/>
      <c r="L180" s="6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61"/>
      <c r="J181" s="61"/>
      <c r="K181" s="61"/>
      <c r="L181" s="6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61"/>
      <c r="J182" s="61"/>
      <c r="K182" s="61"/>
      <c r="L182" s="6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61"/>
      <c r="J183" s="61"/>
      <c r="K183" s="61"/>
      <c r="L183" s="6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61"/>
      <c r="J184" s="61"/>
      <c r="K184" s="61"/>
      <c r="L184" s="6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61"/>
      <c r="J185" s="61"/>
      <c r="K185" s="61"/>
      <c r="L185" s="6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61"/>
      <c r="J186" s="61"/>
      <c r="K186" s="61"/>
      <c r="L186" s="6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61"/>
      <c r="J187" s="61"/>
      <c r="K187" s="61"/>
      <c r="L187" s="6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61"/>
      <c r="J188" s="61"/>
      <c r="K188" s="61"/>
      <c r="L188" s="6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61"/>
      <c r="J189" s="61"/>
      <c r="K189" s="61"/>
      <c r="L189" s="6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61"/>
      <c r="J190" s="61"/>
      <c r="K190" s="61"/>
      <c r="L190" s="6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61"/>
      <c r="J191" s="61"/>
      <c r="K191" s="61"/>
      <c r="L191" s="6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61"/>
      <c r="J192" s="61"/>
      <c r="K192" s="61"/>
      <c r="L192" s="6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61"/>
      <c r="J193" s="61"/>
      <c r="K193" s="61"/>
      <c r="L193" s="6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61"/>
      <c r="J194" s="61"/>
      <c r="K194" s="61"/>
      <c r="L194" s="6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61"/>
      <c r="J195" s="61"/>
      <c r="K195" s="61"/>
      <c r="L195" s="6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61"/>
      <c r="J196" s="61"/>
      <c r="K196" s="61"/>
      <c r="L196" s="6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61"/>
      <c r="J197" s="61"/>
      <c r="K197" s="61"/>
      <c r="L197" s="6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61"/>
      <c r="J198" s="61"/>
      <c r="K198" s="61"/>
      <c r="L198" s="6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61"/>
      <c r="J199" s="61"/>
      <c r="K199" s="61"/>
      <c r="L199" s="6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61"/>
      <c r="J200" s="61"/>
      <c r="K200" s="61"/>
      <c r="L200" s="6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61"/>
      <c r="J201" s="61"/>
      <c r="K201" s="61"/>
      <c r="L201" s="6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61"/>
      <c r="J202" s="61"/>
      <c r="K202" s="61"/>
      <c r="L202" s="6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61"/>
      <c r="J203" s="61"/>
      <c r="K203" s="61"/>
      <c r="L203" s="6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61"/>
      <c r="J204" s="61"/>
      <c r="K204" s="61"/>
      <c r="L204" s="6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61"/>
      <c r="J205" s="61"/>
      <c r="K205" s="61"/>
      <c r="L205" s="6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61"/>
      <c r="J206" s="61"/>
      <c r="K206" s="61"/>
      <c r="L206" s="6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61"/>
      <c r="J207" s="61"/>
      <c r="K207" s="61"/>
      <c r="L207" s="6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61"/>
      <c r="J208" s="61"/>
      <c r="K208" s="61"/>
      <c r="L208" s="6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61"/>
      <c r="J209" s="61"/>
      <c r="K209" s="61"/>
      <c r="L209" s="6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61"/>
      <c r="J210" s="61"/>
      <c r="K210" s="61"/>
      <c r="L210" s="6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61"/>
      <c r="J211" s="61"/>
      <c r="K211" s="61"/>
      <c r="L211" s="6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61"/>
      <c r="J212" s="61"/>
      <c r="K212" s="61"/>
      <c r="L212" s="6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61"/>
      <c r="J213" s="61"/>
      <c r="K213" s="61"/>
      <c r="L213" s="6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61"/>
      <c r="J214" s="61"/>
      <c r="K214" s="61"/>
      <c r="L214" s="6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61"/>
      <c r="J215" s="61"/>
      <c r="K215" s="61"/>
      <c r="L215" s="6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61"/>
      <c r="J216" s="61"/>
      <c r="K216" s="61"/>
      <c r="L216" s="6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61"/>
      <c r="J217" s="61"/>
      <c r="K217" s="61"/>
      <c r="L217" s="6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61"/>
      <c r="J218" s="61"/>
      <c r="K218" s="61"/>
      <c r="L218" s="6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61"/>
      <c r="J219" s="61"/>
      <c r="K219" s="61"/>
      <c r="L219" s="6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61"/>
      <c r="J220" s="61"/>
      <c r="K220" s="61"/>
      <c r="L220" s="6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61"/>
      <c r="J221" s="61"/>
      <c r="K221" s="61"/>
      <c r="L221" s="6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61"/>
      <c r="J222" s="61"/>
      <c r="K222" s="61"/>
      <c r="L222" s="6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61"/>
      <c r="J223" s="61"/>
      <c r="K223" s="61"/>
      <c r="L223" s="6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61"/>
      <c r="J224" s="61"/>
      <c r="K224" s="61"/>
      <c r="L224" s="6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61"/>
      <c r="J225" s="61"/>
      <c r="K225" s="61"/>
      <c r="L225" s="6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61"/>
      <c r="J226" s="61"/>
      <c r="K226" s="61"/>
      <c r="L226" s="6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61"/>
      <c r="J227" s="61"/>
      <c r="K227" s="61"/>
      <c r="L227" s="6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61"/>
      <c r="J228" s="61"/>
      <c r="K228" s="61"/>
      <c r="L228" s="6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61"/>
      <c r="J229" s="61"/>
      <c r="K229" s="61"/>
      <c r="L229" s="6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61"/>
      <c r="J230" s="61"/>
      <c r="K230" s="61"/>
      <c r="L230" s="6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61"/>
      <c r="J231" s="61"/>
      <c r="K231" s="61"/>
      <c r="L231" s="6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61"/>
      <c r="J232" s="61"/>
      <c r="K232" s="61"/>
      <c r="L232" s="6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61"/>
      <c r="J233" s="61"/>
      <c r="K233" s="61"/>
      <c r="L233" s="6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61"/>
      <c r="J234" s="61"/>
      <c r="K234" s="61"/>
      <c r="L234" s="6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61"/>
      <c r="J235" s="61"/>
      <c r="K235" s="61"/>
      <c r="L235" s="6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61"/>
      <c r="J236" s="61"/>
      <c r="K236" s="61"/>
      <c r="L236" s="6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61"/>
      <c r="J237" s="61"/>
      <c r="K237" s="61"/>
      <c r="L237" s="6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61"/>
      <c r="J238" s="61"/>
      <c r="K238" s="61"/>
      <c r="L238" s="6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61"/>
      <c r="J239" s="61"/>
      <c r="K239" s="61"/>
      <c r="L239" s="6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61"/>
      <c r="J240" s="61"/>
      <c r="K240" s="61"/>
      <c r="L240" s="6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61"/>
      <c r="J241" s="61"/>
      <c r="K241" s="61"/>
      <c r="L241" s="6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61"/>
      <c r="J242" s="61"/>
      <c r="K242" s="61"/>
      <c r="L242" s="6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61"/>
      <c r="J243" s="61"/>
      <c r="K243" s="61"/>
      <c r="L243" s="6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61"/>
      <c r="J244" s="61"/>
      <c r="K244" s="61"/>
      <c r="L244" s="6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61"/>
      <c r="J245" s="61"/>
      <c r="K245" s="61"/>
      <c r="L245" s="6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61"/>
      <c r="J246" s="61"/>
      <c r="K246" s="61"/>
      <c r="L246" s="6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61"/>
      <c r="J247" s="61"/>
      <c r="K247" s="61"/>
      <c r="L247" s="6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61"/>
      <c r="J248" s="61"/>
      <c r="K248" s="61"/>
      <c r="L248" s="6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61"/>
      <c r="J249" s="61"/>
      <c r="K249" s="61"/>
      <c r="L249" s="6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61"/>
      <c r="J250" s="61"/>
      <c r="K250" s="61"/>
      <c r="L250" s="6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61"/>
      <c r="J251" s="61"/>
      <c r="K251" s="61"/>
      <c r="L251" s="6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61"/>
      <c r="J252" s="61"/>
      <c r="K252" s="61"/>
      <c r="L252" s="6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61"/>
      <c r="J253" s="61"/>
      <c r="K253" s="61"/>
      <c r="L253" s="6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61"/>
      <c r="J254" s="61"/>
      <c r="K254" s="61"/>
      <c r="L254" s="6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61"/>
      <c r="J255" s="61"/>
      <c r="K255" s="61"/>
      <c r="L255" s="6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61"/>
      <c r="J256" s="61"/>
      <c r="K256" s="61"/>
      <c r="L256" s="6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61"/>
      <c r="J257" s="61"/>
      <c r="K257" s="61"/>
      <c r="L257" s="6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61"/>
      <c r="J258" s="61"/>
      <c r="K258" s="61"/>
      <c r="L258" s="6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61"/>
      <c r="J259" s="61"/>
      <c r="K259" s="61"/>
      <c r="L259" s="6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61"/>
      <c r="J260" s="61"/>
      <c r="K260" s="61"/>
      <c r="L260" s="6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61"/>
      <c r="J261" s="61"/>
      <c r="K261" s="61"/>
      <c r="L261" s="6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61"/>
      <c r="J262" s="61"/>
      <c r="K262" s="61"/>
      <c r="L262" s="6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61"/>
      <c r="J263" s="61"/>
      <c r="K263" s="61"/>
      <c r="L263" s="6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61"/>
      <c r="J264" s="61"/>
      <c r="K264" s="61"/>
      <c r="L264" s="6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61"/>
      <c r="J265" s="61"/>
      <c r="K265" s="61"/>
      <c r="L265" s="6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61"/>
      <c r="J266" s="61"/>
      <c r="K266" s="61"/>
      <c r="L266" s="6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61"/>
      <c r="J267" s="61"/>
      <c r="K267" s="61"/>
      <c r="L267" s="6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61"/>
      <c r="J268" s="61"/>
      <c r="K268" s="61"/>
      <c r="L268" s="6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61"/>
      <c r="J269" s="61"/>
      <c r="K269" s="61"/>
      <c r="L269" s="6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61"/>
      <c r="J270" s="61"/>
      <c r="K270" s="61"/>
      <c r="L270" s="6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61"/>
      <c r="J271" s="61"/>
      <c r="K271" s="61"/>
      <c r="L271" s="6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61"/>
      <c r="J272" s="61"/>
      <c r="K272" s="61"/>
      <c r="L272" s="6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61"/>
      <c r="J273" s="61"/>
      <c r="K273" s="61"/>
      <c r="L273" s="6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61"/>
      <c r="J274" s="61"/>
      <c r="K274" s="61"/>
      <c r="L274" s="6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61"/>
      <c r="J275" s="61"/>
      <c r="K275" s="61"/>
      <c r="L275" s="6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61"/>
      <c r="J276" s="61"/>
      <c r="K276" s="61"/>
      <c r="L276" s="6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61"/>
      <c r="J277" s="61"/>
      <c r="K277" s="61"/>
      <c r="L277" s="6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61"/>
      <c r="J278" s="61"/>
      <c r="K278" s="61"/>
      <c r="L278" s="6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61"/>
      <c r="J279" s="61"/>
      <c r="K279" s="61"/>
      <c r="L279" s="6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61"/>
      <c r="J280" s="61"/>
      <c r="K280" s="61"/>
      <c r="L280" s="6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61"/>
      <c r="J281" s="61"/>
      <c r="K281" s="61"/>
      <c r="L281" s="6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61"/>
      <c r="J282" s="61"/>
      <c r="K282" s="61"/>
      <c r="L282" s="6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61"/>
      <c r="J283" s="61"/>
      <c r="K283" s="61"/>
      <c r="L283" s="6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61"/>
      <c r="J284" s="61"/>
      <c r="K284" s="61"/>
      <c r="L284" s="6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61"/>
      <c r="J285" s="61"/>
      <c r="K285" s="61"/>
      <c r="L285" s="6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61"/>
      <c r="J286" s="61"/>
      <c r="K286" s="61"/>
      <c r="L286" s="6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61"/>
      <c r="J287" s="61"/>
      <c r="K287" s="61"/>
      <c r="L287" s="6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61"/>
      <c r="J288" s="61"/>
      <c r="K288" s="61"/>
      <c r="L288" s="6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61"/>
      <c r="J289" s="61"/>
      <c r="K289" s="61"/>
      <c r="L289" s="6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61"/>
      <c r="J290" s="61"/>
      <c r="K290" s="61"/>
      <c r="L290" s="6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61"/>
      <c r="J291" s="61"/>
      <c r="K291" s="61"/>
      <c r="L291" s="6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61"/>
      <c r="J292" s="61"/>
      <c r="K292" s="61"/>
      <c r="L292" s="6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61"/>
      <c r="J293" s="61"/>
      <c r="K293" s="61"/>
      <c r="L293" s="6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61"/>
      <c r="J294" s="61"/>
      <c r="K294" s="61"/>
      <c r="L294" s="6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61"/>
      <c r="J295" s="61"/>
      <c r="K295" s="61"/>
      <c r="L295" s="6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61"/>
      <c r="J296" s="61"/>
      <c r="K296" s="61"/>
      <c r="L296" s="6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61"/>
      <c r="J297" s="61"/>
      <c r="K297" s="61"/>
      <c r="L297" s="6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61"/>
      <c r="J298" s="61"/>
      <c r="K298" s="61"/>
      <c r="L298" s="6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61"/>
      <c r="J299" s="61"/>
      <c r="K299" s="61"/>
      <c r="L299" s="6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61"/>
      <c r="J300" s="61"/>
      <c r="K300" s="61"/>
      <c r="L300" s="6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61"/>
      <c r="J301" s="61"/>
      <c r="K301" s="61"/>
      <c r="L301" s="6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61"/>
      <c r="J302" s="61"/>
      <c r="K302" s="61"/>
      <c r="L302" s="6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61"/>
      <c r="J303" s="61"/>
      <c r="K303" s="61"/>
      <c r="L303" s="6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61"/>
      <c r="J304" s="61"/>
      <c r="K304" s="61"/>
      <c r="L304" s="6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61"/>
      <c r="J305" s="61"/>
      <c r="K305" s="61"/>
      <c r="L305" s="6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61"/>
      <c r="J306" s="61"/>
      <c r="K306" s="61"/>
      <c r="L306" s="6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61"/>
      <c r="J307" s="61"/>
      <c r="K307" s="61"/>
      <c r="L307" s="6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61"/>
      <c r="J308" s="61"/>
      <c r="K308" s="61"/>
      <c r="L308" s="6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61"/>
      <c r="J309" s="61"/>
      <c r="K309" s="61"/>
      <c r="L309" s="6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61"/>
      <c r="J310" s="61"/>
      <c r="K310" s="61"/>
      <c r="L310" s="6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61"/>
      <c r="J311" s="61"/>
      <c r="K311" s="61"/>
      <c r="L311" s="6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61"/>
      <c r="J312" s="61"/>
      <c r="K312" s="61"/>
      <c r="L312" s="6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61"/>
      <c r="J313" s="61"/>
      <c r="K313" s="61"/>
      <c r="L313" s="6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61"/>
      <c r="J314" s="61"/>
      <c r="K314" s="61"/>
      <c r="L314" s="6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61"/>
      <c r="J315" s="61"/>
      <c r="K315" s="61"/>
      <c r="L315" s="6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61"/>
      <c r="J316" s="61"/>
      <c r="K316" s="61"/>
      <c r="L316" s="6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61"/>
      <c r="J317" s="61"/>
      <c r="K317" s="61"/>
      <c r="L317" s="6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61"/>
      <c r="J318" s="61"/>
      <c r="K318" s="61"/>
      <c r="L318" s="6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61"/>
      <c r="J319" s="61"/>
      <c r="K319" s="61"/>
      <c r="L319" s="6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61"/>
      <c r="J320" s="61"/>
      <c r="K320" s="61"/>
      <c r="L320" s="6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61"/>
      <c r="J321" s="61"/>
      <c r="K321" s="61"/>
      <c r="L321" s="6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61"/>
      <c r="J322" s="61"/>
      <c r="K322" s="61"/>
      <c r="L322" s="6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61"/>
      <c r="J323" s="61"/>
      <c r="K323" s="61"/>
      <c r="L323" s="6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61"/>
      <c r="J324" s="61"/>
      <c r="K324" s="61"/>
      <c r="L324" s="6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61"/>
      <c r="J325" s="61"/>
      <c r="K325" s="61"/>
      <c r="L325" s="6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61"/>
      <c r="J326" s="61"/>
      <c r="K326" s="61"/>
      <c r="L326" s="6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61"/>
      <c r="J327" s="61"/>
      <c r="K327" s="61"/>
      <c r="L327" s="6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61"/>
      <c r="J328" s="61"/>
      <c r="K328" s="61"/>
      <c r="L328" s="6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61"/>
      <c r="J329" s="61"/>
      <c r="K329" s="61"/>
      <c r="L329" s="6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61"/>
      <c r="J330" s="61"/>
      <c r="K330" s="61"/>
      <c r="L330" s="6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61"/>
      <c r="J331" s="61"/>
      <c r="K331" s="61"/>
      <c r="L331" s="6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61"/>
      <c r="J332" s="61"/>
      <c r="K332" s="61"/>
      <c r="L332" s="6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61"/>
      <c r="J333" s="61"/>
      <c r="K333" s="61"/>
      <c r="L333" s="6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61"/>
      <c r="J334" s="61"/>
      <c r="K334" s="61"/>
      <c r="L334" s="6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61"/>
      <c r="J335" s="61"/>
      <c r="K335" s="61"/>
      <c r="L335" s="6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61"/>
      <c r="J336" s="61"/>
      <c r="K336" s="61"/>
      <c r="L336" s="6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61"/>
      <c r="J337" s="61"/>
      <c r="K337" s="61"/>
      <c r="L337" s="6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61"/>
      <c r="J338" s="61"/>
      <c r="K338" s="61"/>
      <c r="L338" s="6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61"/>
      <c r="J339" s="61"/>
      <c r="K339" s="61"/>
      <c r="L339" s="6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61"/>
      <c r="J340" s="61"/>
      <c r="K340" s="61"/>
      <c r="L340" s="6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61"/>
      <c r="J341" s="61"/>
      <c r="K341" s="61"/>
      <c r="L341" s="6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61"/>
      <c r="J342" s="61"/>
      <c r="K342" s="61"/>
      <c r="L342" s="6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61"/>
      <c r="J343" s="61"/>
      <c r="K343" s="61"/>
      <c r="L343" s="6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61"/>
      <c r="J344" s="61"/>
      <c r="K344" s="61"/>
      <c r="L344" s="6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61"/>
      <c r="J345" s="61"/>
      <c r="K345" s="61"/>
      <c r="L345" s="6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61"/>
      <c r="J346" s="61"/>
      <c r="K346" s="61"/>
      <c r="L346" s="6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61"/>
      <c r="J347" s="61"/>
      <c r="K347" s="61"/>
      <c r="L347" s="6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61"/>
      <c r="J348" s="61"/>
      <c r="K348" s="61"/>
      <c r="L348" s="6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61"/>
      <c r="J349" s="61"/>
      <c r="K349" s="61"/>
      <c r="L349" s="6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61"/>
      <c r="J350" s="61"/>
      <c r="K350" s="61"/>
      <c r="L350" s="6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61"/>
      <c r="J351" s="61"/>
      <c r="K351" s="61"/>
      <c r="L351" s="6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61"/>
      <c r="J352" s="61"/>
      <c r="K352" s="61"/>
      <c r="L352" s="6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61"/>
      <c r="J353" s="61"/>
      <c r="K353" s="61"/>
      <c r="L353" s="6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61"/>
      <c r="J354" s="61"/>
      <c r="K354" s="61"/>
      <c r="L354" s="6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61"/>
      <c r="J355" s="61"/>
      <c r="K355" s="61"/>
      <c r="L355" s="6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61"/>
      <c r="J356" s="61"/>
      <c r="K356" s="61"/>
      <c r="L356" s="6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61"/>
      <c r="J357" s="61"/>
      <c r="K357" s="61"/>
      <c r="L357" s="6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61"/>
      <c r="J358" s="61"/>
      <c r="K358" s="61"/>
      <c r="L358" s="6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61"/>
      <c r="J359" s="61"/>
      <c r="K359" s="61"/>
      <c r="L359" s="6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61"/>
      <c r="J360" s="61"/>
      <c r="K360" s="61"/>
      <c r="L360" s="6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61"/>
      <c r="J361" s="61"/>
      <c r="K361" s="61"/>
      <c r="L361" s="6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61"/>
      <c r="J362" s="61"/>
      <c r="K362" s="61"/>
      <c r="L362" s="6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61"/>
      <c r="J363" s="61"/>
      <c r="K363" s="61"/>
      <c r="L363" s="6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61"/>
      <c r="J364" s="61"/>
      <c r="K364" s="61"/>
      <c r="L364" s="6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61"/>
      <c r="J365" s="61"/>
      <c r="K365" s="61"/>
      <c r="L365" s="6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61"/>
      <c r="J366" s="61"/>
      <c r="K366" s="61"/>
      <c r="L366" s="6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61"/>
      <c r="J367" s="61"/>
      <c r="K367" s="61"/>
      <c r="L367" s="6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61"/>
      <c r="J368" s="61"/>
      <c r="K368" s="61"/>
      <c r="L368" s="6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61"/>
      <c r="J369" s="61"/>
      <c r="K369" s="61"/>
      <c r="L369" s="6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61"/>
      <c r="J370" s="61"/>
      <c r="K370" s="61"/>
      <c r="L370" s="6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61"/>
      <c r="J371" s="61"/>
      <c r="K371" s="61"/>
      <c r="L371" s="6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61"/>
      <c r="J372" s="61"/>
      <c r="K372" s="61"/>
      <c r="L372" s="6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61"/>
      <c r="J373" s="61"/>
      <c r="K373" s="61"/>
      <c r="L373" s="6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61"/>
      <c r="J374" s="61"/>
      <c r="K374" s="61"/>
      <c r="L374" s="6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61"/>
      <c r="J375" s="61"/>
      <c r="K375" s="61"/>
      <c r="L375" s="6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61"/>
      <c r="J376" s="61"/>
      <c r="K376" s="61"/>
      <c r="L376" s="6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61"/>
      <c r="J377" s="61"/>
      <c r="K377" s="61"/>
      <c r="L377" s="6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61"/>
      <c r="J378" s="61"/>
      <c r="K378" s="61"/>
      <c r="L378" s="6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61"/>
      <c r="J379" s="61"/>
      <c r="K379" s="61"/>
      <c r="L379" s="6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61"/>
      <c r="J380" s="61"/>
      <c r="K380" s="61"/>
      <c r="L380" s="6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61"/>
      <c r="J381" s="61"/>
      <c r="K381" s="61"/>
      <c r="L381" s="6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61"/>
      <c r="J382" s="61"/>
      <c r="K382" s="61"/>
      <c r="L382" s="6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61"/>
      <c r="J383" s="61"/>
      <c r="K383" s="61"/>
      <c r="L383" s="6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61"/>
      <c r="J384" s="61"/>
      <c r="K384" s="61"/>
      <c r="L384" s="6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61"/>
      <c r="J385" s="61"/>
      <c r="K385" s="61"/>
      <c r="L385" s="6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61"/>
      <c r="J386" s="61"/>
      <c r="K386" s="61"/>
      <c r="L386" s="6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61"/>
      <c r="J387" s="61"/>
      <c r="K387" s="61"/>
      <c r="L387" s="6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61"/>
      <c r="J388" s="61"/>
      <c r="K388" s="61"/>
      <c r="L388" s="6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61"/>
      <c r="J389" s="61"/>
      <c r="K389" s="61"/>
      <c r="L389" s="6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61"/>
      <c r="J390" s="61"/>
      <c r="K390" s="61"/>
      <c r="L390" s="6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61"/>
      <c r="J391" s="61"/>
      <c r="K391" s="61"/>
      <c r="L391" s="6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61"/>
      <c r="J392" s="61"/>
      <c r="K392" s="61"/>
      <c r="L392" s="6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61"/>
      <c r="J393" s="61"/>
      <c r="K393" s="61"/>
      <c r="L393" s="6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61"/>
      <c r="J394" s="61"/>
      <c r="K394" s="61"/>
      <c r="L394" s="6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61"/>
      <c r="J395" s="61"/>
      <c r="K395" s="61"/>
      <c r="L395" s="6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61"/>
      <c r="J396" s="61"/>
      <c r="K396" s="61"/>
      <c r="L396" s="6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61"/>
      <c r="J397" s="61"/>
      <c r="K397" s="61"/>
      <c r="L397" s="6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61"/>
      <c r="J398" s="61"/>
      <c r="K398" s="61"/>
      <c r="L398" s="6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61"/>
      <c r="J399" s="61"/>
      <c r="K399" s="61"/>
      <c r="L399" s="6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61"/>
      <c r="J400" s="61"/>
      <c r="K400" s="61"/>
      <c r="L400" s="6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61"/>
      <c r="J401" s="61"/>
      <c r="K401" s="61"/>
      <c r="L401" s="6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61"/>
      <c r="J402" s="61"/>
      <c r="K402" s="61"/>
      <c r="L402" s="6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61"/>
      <c r="J403" s="61"/>
      <c r="K403" s="61"/>
      <c r="L403" s="6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61"/>
      <c r="J404" s="61"/>
      <c r="K404" s="61"/>
      <c r="L404" s="6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61"/>
      <c r="J405" s="61"/>
      <c r="K405" s="61"/>
      <c r="L405" s="6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61"/>
      <c r="J406" s="61"/>
      <c r="K406" s="61"/>
      <c r="L406" s="6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61"/>
      <c r="J407" s="61"/>
      <c r="K407" s="61"/>
      <c r="L407" s="6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61"/>
      <c r="J408" s="61"/>
      <c r="K408" s="61"/>
      <c r="L408" s="6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61"/>
      <c r="J409" s="61"/>
      <c r="K409" s="61"/>
      <c r="L409" s="6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61"/>
      <c r="J410" s="61"/>
      <c r="K410" s="61"/>
      <c r="L410" s="6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61"/>
      <c r="J411" s="61"/>
      <c r="K411" s="61"/>
      <c r="L411" s="6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61"/>
      <c r="J412" s="61"/>
      <c r="K412" s="61"/>
      <c r="L412" s="6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61"/>
      <c r="J413" s="61"/>
      <c r="K413" s="61"/>
      <c r="L413" s="6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61"/>
      <c r="J414" s="61"/>
      <c r="K414" s="61"/>
      <c r="L414" s="6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61"/>
      <c r="J415" s="61"/>
      <c r="K415" s="61"/>
      <c r="L415" s="6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61"/>
      <c r="J416" s="61"/>
      <c r="K416" s="61"/>
      <c r="L416" s="6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61"/>
      <c r="J417" s="61"/>
      <c r="K417" s="61"/>
      <c r="L417" s="6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61"/>
      <c r="J418" s="61"/>
      <c r="K418" s="61"/>
      <c r="L418" s="6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61"/>
      <c r="J419" s="61"/>
      <c r="K419" s="61"/>
      <c r="L419" s="6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61"/>
      <c r="J420" s="61"/>
      <c r="K420" s="61"/>
      <c r="L420" s="6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61"/>
      <c r="J421" s="61"/>
      <c r="K421" s="61"/>
      <c r="L421" s="6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61"/>
      <c r="J422" s="61"/>
      <c r="K422" s="61"/>
      <c r="L422" s="6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61"/>
      <c r="J423" s="61"/>
      <c r="K423" s="61"/>
      <c r="L423" s="6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61"/>
      <c r="J424" s="61"/>
      <c r="K424" s="61"/>
      <c r="L424" s="6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61"/>
      <c r="J425" s="61"/>
      <c r="K425" s="61"/>
      <c r="L425" s="6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61"/>
      <c r="J426" s="61"/>
      <c r="K426" s="61"/>
      <c r="L426" s="6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61"/>
      <c r="J427" s="61"/>
      <c r="K427" s="61"/>
      <c r="L427" s="6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61"/>
      <c r="J428" s="61"/>
      <c r="K428" s="61"/>
      <c r="L428" s="6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61"/>
      <c r="J429" s="61"/>
      <c r="K429" s="61"/>
      <c r="L429" s="6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61"/>
      <c r="J430" s="61"/>
      <c r="K430" s="61"/>
      <c r="L430" s="6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61"/>
      <c r="J431" s="61"/>
      <c r="K431" s="61"/>
      <c r="L431" s="6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61"/>
      <c r="J432" s="61"/>
      <c r="K432" s="61"/>
      <c r="L432" s="6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61"/>
      <c r="J433" s="61"/>
      <c r="K433" s="61"/>
      <c r="L433" s="6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61"/>
      <c r="J434" s="61"/>
      <c r="K434" s="61"/>
      <c r="L434" s="6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61"/>
      <c r="J435" s="61"/>
      <c r="K435" s="61"/>
      <c r="L435" s="6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61"/>
      <c r="J436" s="61"/>
      <c r="K436" s="61"/>
      <c r="L436" s="6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61"/>
      <c r="J437" s="61"/>
      <c r="K437" s="61"/>
      <c r="L437" s="6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61"/>
      <c r="J438" s="61"/>
      <c r="K438" s="61"/>
      <c r="L438" s="6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61"/>
      <c r="J439" s="61"/>
      <c r="K439" s="61"/>
      <c r="L439" s="6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61"/>
      <c r="J440" s="61"/>
      <c r="K440" s="61"/>
      <c r="L440" s="6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61"/>
      <c r="J441" s="61"/>
      <c r="K441" s="61"/>
      <c r="L441" s="6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61"/>
      <c r="J442" s="61"/>
      <c r="K442" s="61"/>
      <c r="L442" s="6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61"/>
      <c r="J443" s="61"/>
      <c r="K443" s="61"/>
      <c r="L443" s="6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61"/>
      <c r="J444" s="61"/>
      <c r="K444" s="61"/>
      <c r="L444" s="6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61"/>
      <c r="J445" s="61"/>
      <c r="K445" s="61"/>
      <c r="L445" s="6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61"/>
      <c r="J446" s="61"/>
      <c r="K446" s="61"/>
      <c r="L446" s="6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61"/>
      <c r="J447" s="61"/>
      <c r="K447" s="61"/>
      <c r="L447" s="6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61"/>
      <c r="J448" s="61"/>
      <c r="K448" s="61"/>
      <c r="L448" s="6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61"/>
      <c r="J449" s="61"/>
      <c r="K449" s="61"/>
      <c r="L449" s="6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61"/>
      <c r="J450" s="61"/>
      <c r="K450" s="61"/>
      <c r="L450" s="6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61"/>
      <c r="J451" s="61"/>
      <c r="K451" s="61"/>
      <c r="L451" s="6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61"/>
      <c r="J452" s="61"/>
      <c r="K452" s="61"/>
      <c r="L452" s="6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61"/>
      <c r="J453" s="61"/>
      <c r="K453" s="61"/>
      <c r="L453" s="6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61"/>
      <c r="J454" s="61"/>
      <c r="K454" s="61"/>
      <c r="L454" s="6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61"/>
      <c r="J455" s="61"/>
      <c r="K455" s="61"/>
      <c r="L455" s="6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61"/>
      <c r="J456" s="61"/>
      <c r="K456" s="61"/>
      <c r="L456" s="6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61"/>
      <c r="J457" s="61"/>
      <c r="K457" s="61"/>
      <c r="L457" s="6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61"/>
      <c r="J458" s="61"/>
      <c r="K458" s="61"/>
      <c r="L458" s="6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61"/>
      <c r="J459" s="61"/>
      <c r="K459" s="61"/>
      <c r="L459" s="6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61"/>
      <c r="J460" s="61"/>
      <c r="K460" s="61"/>
      <c r="L460" s="6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61"/>
      <c r="J461" s="61"/>
      <c r="K461" s="61"/>
      <c r="L461" s="6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61"/>
      <c r="J462" s="61"/>
      <c r="K462" s="61"/>
      <c r="L462" s="6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61"/>
      <c r="J463" s="61"/>
      <c r="K463" s="61"/>
      <c r="L463" s="6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61"/>
      <c r="J464" s="61"/>
      <c r="K464" s="61"/>
      <c r="L464" s="6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61"/>
      <c r="J465" s="61"/>
      <c r="K465" s="61"/>
      <c r="L465" s="6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61"/>
      <c r="J466" s="61"/>
      <c r="K466" s="61"/>
      <c r="L466" s="6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61"/>
      <c r="J467" s="61"/>
      <c r="K467" s="61"/>
      <c r="L467" s="6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61"/>
      <c r="J468" s="61"/>
      <c r="K468" s="61"/>
      <c r="L468" s="6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61"/>
      <c r="J469" s="61"/>
      <c r="K469" s="61"/>
      <c r="L469" s="6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61"/>
      <c r="J470" s="61"/>
      <c r="K470" s="61"/>
      <c r="L470" s="6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61"/>
      <c r="J471" s="61"/>
      <c r="K471" s="61"/>
      <c r="L471" s="6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61"/>
      <c r="J472" s="61"/>
      <c r="K472" s="61"/>
      <c r="L472" s="6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61"/>
      <c r="J473" s="61"/>
      <c r="K473" s="61"/>
      <c r="L473" s="6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61"/>
      <c r="J474" s="61"/>
      <c r="K474" s="61"/>
      <c r="L474" s="6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61"/>
      <c r="J475" s="61"/>
      <c r="K475" s="61"/>
      <c r="L475" s="6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61"/>
      <c r="J476" s="61"/>
      <c r="K476" s="61"/>
      <c r="L476" s="6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61"/>
      <c r="J477" s="61"/>
      <c r="K477" s="61"/>
      <c r="L477" s="6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61"/>
      <c r="J478" s="61"/>
      <c r="K478" s="61"/>
      <c r="L478" s="6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61"/>
      <c r="J479" s="61"/>
      <c r="K479" s="61"/>
      <c r="L479" s="6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61"/>
      <c r="J480" s="61"/>
      <c r="K480" s="61"/>
      <c r="L480" s="6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61"/>
      <c r="J481" s="61"/>
      <c r="K481" s="61"/>
      <c r="L481" s="6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61"/>
      <c r="J482" s="61"/>
      <c r="K482" s="61"/>
      <c r="L482" s="6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61"/>
      <c r="J483" s="61"/>
      <c r="K483" s="61"/>
      <c r="L483" s="6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61"/>
      <c r="J484" s="61"/>
      <c r="K484" s="61"/>
      <c r="L484" s="6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61"/>
      <c r="J485" s="61"/>
      <c r="K485" s="61"/>
      <c r="L485" s="6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61"/>
      <c r="J486" s="61"/>
      <c r="K486" s="61"/>
      <c r="L486" s="6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61"/>
      <c r="J487" s="61"/>
      <c r="K487" s="61"/>
      <c r="L487" s="6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61"/>
      <c r="J488" s="61"/>
      <c r="K488" s="61"/>
      <c r="L488" s="6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61"/>
      <c r="J489" s="61"/>
      <c r="K489" s="61"/>
      <c r="L489" s="6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61"/>
      <c r="J490" s="61"/>
      <c r="K490" s="61"/>
      <c r="L490" s="6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61"/>
      <c r="J491" s="61"/>
      <c r="K491" s="61"/>
      <c r="L491" s="6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61"/>
      <c r="J492" s="61"/>
      <c r="K492" s="61"/>
      <c r="L492" s="6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61"/>
      <c r="J493" s="61"/>
      <c r="K493" s="61"/>
      <c r="L493" s="6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61"/>
      <c r="J494" s="61"/>
      <c r="K494" s="61"/>
      <c r="L494" s="6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61"/>
      <c r="J495" s="61"/>
      <c r="K495" s="61"/>
      <c r="L495" s="6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61"/>
      <c r="J496" s="61"/>
      <c r="K496" s="61"/>
      <c r="L496" s="6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61"/>
      <c r="J497" s="61"/>
      <c r="K497" s="61"/>
      <c r="L497" s="6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61"/>
      <c r="J498" s="61"/>
      <c r="K498" s="61"/>
      <c r="L498" s="6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61"/>
      <c r="J499" s="61"/>
      <c r="K499" s="61"/>
      <c r="L499" s="6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61"/>
      <c r="J500" s="61"/>
      <c r="K500" s="61"/>
      <c r="L500" s="6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61"/>
      <c r="J501" s="61"/>
      <c r="K501" s="61"/>
      <c r="L501" s="6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61"/>
      <c r="J502" s="61"/>
      <c r="K502" s="61"/>
      <c r="L502" s="6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61"/>
      <c r="J503" s="61"/>
      <c r="K503" s="61"/>
      <c r="L503" s="6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61"/>
      <c r="J504" s="61"/>
      <c r="K504" s="61"/>
      <c r="L504" s="6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61"/>
      <c r="J505" s="61"/>
      <c r="K505" s="61"/>
      <c r="L505" s="6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61"/>
      <c r="J506" s="61"/>
      <c r="K506" s="61"/>
      <c r="L506" s="6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61"/>
      <c r="J507" s="61"/>
      <c r="K507" s="61"/>
      <c r="L507" s="6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61"/>
      <c r="J508" s="61"/>
      <c r="K508" s="61"/>
      <c r="L508" s="6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61"/>
      <c r="J509" s="61"/>
      <c r="K509" s="61"/>
      <c r="L509" s="6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61"/>
      <c r="J510" s="61"/>
      <c r="K510" s="61"/>
      <c r="L510" s="6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61"/>
      <c r="J511" s="61"/>
      <c r="K511" s="61"/>
      <c r="L511" s="6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61"/>
      <c r="J512" s="61"/>
      <c r="K512" s="61"/>
      <c r="L512" s="6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61"/>
      <c r="J513" s="61"/>
      <c r="K513" s="61"/>
      <c r="L513" s="6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61"/>
      <c r="J514" s="61"/>
      <c r="K514" s="61"/>
      <c r="L514" s="6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61"/>
      <c r="J515" s="61"/>
      <c r="K515" s="61"/>
      <c r="L515" s="6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61"/>
      <c r="J516" s="61"/>
      <c r="K516" s="61"/>
      <c r="L516" s="6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61"/>
      <c r="J517" s="61"/>
      <c r="K517" s="61"/>
      <c r="L517" s="6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61"/>
      <c r="J518" s="61"/>
      <c r="K518" s="61"/>
      <c r="L518" s="6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61"/>
      <c r="J519" s="61"/>
      <c r="K519" s="61"/>
      <c r="L519" s="6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61"/>
      <c r="J520" s="61"/>
      <c r="K520" s="61"/>
      <c r="L520" s="6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61"/>
      <c r="J521" s="61"/>
      <c r="K521" s="61"/>
      <c r="L521" s="6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61"/>
      <c r="J522" s="61"/>
      <c r="K522" s="61"/>
      <c r="L522" s="6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61"/>
      <c r="J523" s="61"/>
      <c r="K523" s="61"/>
      <c r="L523" s="6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61"/>
      <c r="J524" s="61"/>
      <c r="K524" s="61"/>
      <c r="L524" s="6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61"/>
      <c r="J525" s="61"/>
      <c r="K525" s="61"/>
      <c r="L525" s="6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61"/>
      <c r="J526" s="61"/>
      <c r="K526" s="61"/>
      <c r="L526" s="6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61"/>
      <c r="J527" s="61"/>
      <c r="K527" s="61"/>
      <c r="L527" s="6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61"/>
      <c r="J528" s="61"/>
      <c r="K528" s="61"/>
      <c r="L528" s="6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61"/>
      <c r="J529" s="61"/>
      <c r="K529" s="61"/>
      <c r="L529" s="6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61"/>
      <c r="J530" s="61"/>
      <c r="K530" s="61"/>
      <c r="L530" s="6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61"/>
      <c r="J531" s="61"/>
      <c r="K531" s="61"/>
      <c r="L531" s="6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61"/>
      <c r="J532" s="61"/>
      <c r="K532" s="61"/>
      <c r="L532" s="6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61"/>
      <c r="J533" s="61"/>
      <c r="K533" s="61"/>
      <c r="L533" s="6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61"/>
      <c r="J534" s="61"/>
      <c r="K534" s="61"/>
      <c r="L534" s="6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61"/>
      <c r="J535" s="61"/>
      <c r="K535" s="61"/>
      <c r="L535" s="6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61"/>
      <c r="J536" s="61"/>
      <c r="K536" s="61"/>
      <c r="L536" s="6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61"/>
      <c r="J537" s="61"/>
      <c r="K537" s="61"/>
      <c r="L537" s="6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61"/>
      <c r="J538" s="61"/>
      <c r="K538" s="61"/>
      <c r="L538" s="6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61"/>
      <c r="J539" s="61"/>
      <c r="K539" s="61"/>
      <c r="L539" s="6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61"/>
      <c r="J540" s="61"/>
      <c r="K540" s="61"/>
      <c r="L540" s="6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61"/>
      <c r="J541" s="61"/>
      <c r="K541" s="61"/>
      <c r="L541" s="6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61"/>
      <c r="J542" s="61"/>
      <c r="K542" s="61"/>
      <c r="L542" s="6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61"/>
      <c r="J543" s="61"/>
      <c r="K543" s="61"/>
      <c r="L543" s="6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61"/>
      <c r="J544" s="61"/>
      <c r="K544" s="61"/>
      <c r="L544" s="6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61"/>
      <c r="J545" s="61"/>
      <c r="K545" s="61"/>
      <c r="L545" s="6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61"/>
      <c r="J546" s="61"/>
      <c r="K546" s="61"/>
      <c r="L546" s="6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61"/>
      <c r="J547" s="61"/>
      <c r="K547" s="61"/>
      <c r="L547" s="6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61"/>
      <c r="J548" s="61"/>
      <c r="K548" s="61"/>
      <c r="L548" s="6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61"/>
      <c r="J549" s="61"/>
      <c r="K549" s="61"/>
      <c r="L549" s="6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61"/>
      <c r="J550" s="61"/>
      <c r="K550" s="61"/>
      <c r="L550" s="6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61"/>
      <c r="J551" s="61"/>
      <c r="K551" s="61"/>
      <c r="L551" s="6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61"/>
      <c r="J552" s="61"/>
      <c r="K552" s="61"/>
      <c r="L552" s="6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61"/>
      <c r="J553" s="61"/>
      <c r="K553" s="61"/>
      <c r="L553" s="6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61"/>
      <c r="J554" s="61"/>
      <c r="K554" s="61"/>
      <c r="L554" s="6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61"/>
      <c r="J555" s="61"/>
      <c r="K555" s="61"/>
      <c r="L555" s="6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61"/>
      <c r="J556" s="61"/>
      <c r="K556" s="61"/>
      <c r="L556" s="6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61"/>
      <c r="J557" s="61"/>
      <c r="K557" s="61"/>
      <c r="L557" s="6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61"/>
      <c r="J558" s="61"/>
      <c r="K558" s="61"/>
      <c r="L558" s="6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61"/>
      <c r="J559" s="61"/>
      <c r="K559" s="61"/>
      <c r="L559" s="6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61"/>
      <c r="J560" s="61"/>
      <c r="K560" s="61"/>
      <c r="L560" s="6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61"/>
      <c r="J561" s="61"/>
      <c r="K561" s="61"/>
      <c r="L561" s="6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61"/>
      <c r="J562" s="61"/>
      <c r="K562" s="61"/>
      <c r="L562" s="6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61"/>
      <c r="J563" s="61"/>
      <c r="K563" s="61"/>
      <c r="L563" s="6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61"/>
      <c r="J564" s="61"/>
      <c r="K564" s="61"/>
      <c r="L564" s="6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61"/>
      <c r="J565" s="61"/>
      <c r="K565" s="61"/>
      <c r="L565" s="6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61"/>
      <c r="J566" s="61"/>
      <c r="K566" s="61"/>
      <c r="L566" s="6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61"/>
      <c r="J567" s="61"/>
      <c r="K567" s="61"/>
      <c r="L567" s="6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61"/>
      <c r="J568" s="61"/>
      <c r="K568" s="61"/>
      <c r="L568" s="6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61"/>
      <c r="J569" s="61"/>
      <c r="K569" s="61"/>
      <c r="L569" s="6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61"/>
      <c r="J570" s="61"/>
      <c r="K570" s="61"/>
      <c r="L570" s="6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61"/>
      <c r="J571" s="61"/>
      <c r="K571" s="61"/>
      <c r="L571" s="6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61"/>
      <c r="J572" s="61"/>
      <c r="K572" s="61"/>
      <c r="L572" s="6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61"/>
      <c r="J573" s="61"/>
      <c r="K573" s="61"/>
      <c r="L573" s="6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61"/>
      <c r="J574" s="61"/>
      <c r="K574" s="61"/>
      <c r="L574" s="6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61"/>
      <c r="J575" s="61"/>
      <c r="K575" s="61"/>
      <c r="L575" s="6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61"/>
      <c r="J576" s="61"/>
      <c r="K576" s="61"/>
      <c r="L576" s="6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61"/>
      <c r="J577" s="61"/>
      <c r="K577" s="61"/>
      <c r="L577" s="6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61"/>
      <c r="J578" s="61"/>
      <c r="K578" s="61"/>
      <c r="L578" s="6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61"/>
      <c r="J579" s="61"/>
      <c r="K579" s="61"/>
      <c r="L579" s="6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61"/>
      <c r="J580" s="61"/>
      <c r="K580" s="61"/>
      <c r="L580" s="6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61"/>
      <c r="J581" s="61"/>
      <c r="K581" s="61"/>
      <c r="L581" s="6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61"/>
      <c r="J582" s="61"/>
      <c r="K582" s="61"/>
      <c r="L582" s="6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61"/>
      <c r="J583" s="61"/>
      <c r="K583" s="61"/>
      <c r="L583" s="6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61"/>
      <c r="J584" s="61"/>
      <c r="K584" s="61"/>
      <c r="L584" s="6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61"/>
      <c r="J585" s="61"/>
      <c r="K585" s="61"/>
      <c r="L585" s="6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61"/>
      <c r="J586" s="61"/>
      <c r="K586" s="61"/>
      <c r="L586" s="6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61"/>
      <c r="J587" s="61"/>
      <c r="K587" s="61"/>
      <c r="L587" s="6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61"/>
      <c r="J588" s="61"/>
      <c r="K588" s="61"/>
      <c r="L588" s="6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61"/>
      <c r="J589" s="61"/>
      <c r="K589" s="61"/>
      <c r="L589" s="6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61"/>
      <c r="J590" s="61"/>
      <c r="K590" s="61"/>
      <c r="L590" s="6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61"/>
      <c r="J591" s="61"/>
      <c r="K591" s="61"/>
      <c r="L591" s="6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61"/>
      <c r="J592" s="61"/>
      <c r="K592" s="61"/>
      <c r="L592" s="6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61"/>
      <c r="J593" s="61"/>
      <c r="K593" s="61"/>
      <c r="L593" s="6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61"/>
      <c r="J594" s="61"/>
      <c r="K594" s="61"/>
      <c r="L594" s="6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61"/>
      <c r="J595" s="61"/>
      <c r="K595" s="61"/>
      <c r="L595" s="6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61"/>
      <c r="J596" s="61"/>
      <c r="K596" s="61"/>
      <c r="L596" s="6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61"/>
      <c r="J597" s="61"/>
      <c r="K597" s="61"/>
      <c r="L597" s="6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61"/>
      <c r="J598" s="61"/>
      <c r="K598" s="61"/>
      <c r="L598" s="6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61"/>
      <c r="J599" s="61"/>
      <c r="K599" s="61"/>
      <c r="L599" s="6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61"/>
      <c r="J600" s="61"/>
      <c r="K600" s="61"/>
      <c r="L600" s="6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61"/>
      <c r="J601" s="61"/>
      <c r="K601" s="61"/>
      <c r="L601" s="6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61"/>
      <c r="J602" s="61"/>
      <c r="K602" s="61"/>
      <c r="L602" s="6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61"/>
      <c r="J603" s="61"/>
      <c r="K603" s="61"/>
      <c r="L603" s="6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61"/>
      <c r="J604" s="61"/>
      <c r="K604" s="61"/>
      <c r="L604" s="6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61"/>
      <c r="J605" s="61"/>
      <c r="K605" s="61"/>
      <c r="L605" s="6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61"/>
      <c r="J606" s="61"/>
      <c r="K606" s="61"/>
      <c r="L606" s="6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61"/>
      <c r="J607" s="61"/>
      <c r="K607" s="61"/>
      <c r="L607" s="6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61"/>
      <c r="J608" s="61"/>
      <c r="K608" s="61"/>
      <c r="L608" s="6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61"/>
      <c r="J609" s="61"/>
      <c r="K609" s="61"/>
      <c r="L609" s="6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61"/>
      <c r="J610" s="61"/>
      <c r="K610" s="61"/>
      <c r="L610" s="6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61"/>
      <c r="J611" s="61"/>
      <c r="K611" s="61"/>
      <c r="L611" s="6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61"/>
      <c r="J612" s="61"/>
      <c r="K612" s="61"/>
      <c r="L612" s="6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61"/>
      <c r="J613" s="61"/>
      <c r="K613" s="61"/>
      <c r="L613" s="6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61"/>
      <c r="J614" s="61"/>
      <c r="K614" s="61"/>
      <c r="L614" s="6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61"/>
      <c r="J615" s="61"/>
      <c r="K615" s="61"/>
      <c r="L615" s="6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61"/>
      <c r="J616" s="61"/>
      <c r="K616" s="61"/>
      <c r="L616" s="6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61"/>
      <c r="J617" s="61"/>
      <c r="K617" s="61"/>
      <c r="L617" s="6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61"/>
      <c r="J618" s="61"/>
      <c r="K618" s="61"/>
      <c r="L618" s="6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61"/>
      <c r="J619" s="61"/>
      <c r="K619" s="61"/>
      <c r="L619" s="6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61"/>
      <c r="J620" s="61"/>
      <c r="K620" s="61"/>
      <c r="L620" s="6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61"/>
      <c r="J621" s="61"/>
      <c r="K621" s="61"/>
      <c r="L621" s="6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61"/>
      <c r="J622" s="61"/>
      <c r="K622" s="61"/>
      <c r="L622" s="6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61"/>
      <c r="J623" s="61"/>
      <c r="K623" s="61"/>
      <c r="L623" s="6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61"/>
      <c r="J624" s="61"/>
      <c r="K624" s="61"/>
      <c r="L624" s="6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61"/>
      <c r="J625" s="61"/>
      <c r="K625" s="61"/>
      <c r="L625" s="6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61"/>
      <c r="J626" s="61"/>
      <c r="K626" s="61"/>
      <c r="L626" s="6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61"/>
      <c r="J627" s="61"/>
      <c r="K627" s="61"/>
      <c r="L627" s="6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61"/>
      <c r="J628" s="61"/>
      <c r="K628" s="61"/>
      <c r="L628" s="6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61"/>
      <c r="J629" s="61"/>
      <c r="K629" s="61"/>
      <c r="L629" s="6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61"/>
      <c r="J630" s="61"/>
      <c r="K630" s="61"/>
      <c r="L630" s="6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61"/>
      <c r="J631" s="61"/>
      <c r="K631" s="61"/>
      <c r="L631" s="6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61"/>
      <c r="J632" s="61"/>
      <c r="K632" s="61"/>
      <c r="L632" s="6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61"/>
      <c r="J633" s="61"/>
      <c r="K633" s="61"/>
      <c r="L633" s="6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61"/>
      <c r="J634" s="61"/>
      <c r="K634" s="61"/>
      <c r="L634" s="6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61"/>
      <c r="J635" s="61"/>
      <c r="K635" s="61"/>
      <c r="L635" s="6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61"/>
      <c r="J636" s="61"/>
      <c r="K636" s="61"/>
      <c r="L636" s="6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61"/>
      <c r="J637" s="61"/>
      <c r="K637" s="61"/>
      <c r="L637" s="6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61"/>
      <c r="J638" s="61"/>
      <c r="K638" s="61"/>
      <c r="L638" s="6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61"/>
      <c r="J639" s="61"/>
      <c r="K639" s="61"/>
      <c r="L639" s="6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61"/>
      <c r="J640" s="61"/>
      <c r="K640" s="61"/>
      <c r="L640" s="6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61"/>
      <c r="J641" s="61"/>
      <c r="K641" s="61"/>
      <c r="L641" s="6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61"/>
      <c r="J642" s="61"/>
      <c r="K642" s="61"/>
      <c r="L642" s="6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61"/>
      <c r="J643" s="61"/>
      <c r="K643" s="61"/>
      <c r="L643" s="6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61"/>
      <c r="J644" s="61"/>
      <c r="K644" s="61"/>
      <c r="L644" s="6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61"/>
      <c r="J645" s="61"/>
      <c r="K645" s="61"/>
      <c r="L645" s="6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61"/>
      <c r="J646" s="61"/>
      <c r="K646" s="61"/>
      <c r="L646" s="6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61"/>
      <c r="J647" s="61"/>
      <c r="K647" s="61"/>
      <c r="L647" s="6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61"/>
      <c r="J648" s="61"/>
      <c r="K648" s="61"/>
      <c r="L648" s="6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61"/>
      <c r="J649" s="61"/>
      <c r="K649" s="61"/>
      <c r="L649" s="6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61"/>
      <c r="J650" s="61"/>
      <c r="K650" s="61"/>
      <c r="L650" s="6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61"/>
      <c r="J651" s="61"/>
      <c r="K651" s="61"/>
      <c r="L651" s="6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61"/>
      <c r="J652" s="61"/>
      <c r="K652" s="61"/>
      <c r="L652" s="6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61"/>
      <c r="J653" s="61"/>
      <c r="K653" s="61"/>
      <c r="L653" s="6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61"/>
      <c r="J654" s="61"/>
      <c r="K654" s="61"/>
      <c r="L654" s="6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61"/>
      <c r="J655" s="61"/>
      <c r="K655" s="61"/>
      <c r="L655" s="6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61"/>
      <c r="J656" s="61"/>
      <c r="K656" s="61"/>
      <c r="L656" s="6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61"/>
      <c r="J657" s="61"/>
      <c r="K657" s="61"/>
      <c r="L657" s="6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61"/>
      <c r="J658" s="61"/>
      <c r="K658" s="61"/>
      <c r="L658" s="6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61"/>
      <c r="J659" s="61"/>
      <c r="K659" s="61"/>
      <c r="L659" s="6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61"/>
      <c r="J660" s="61"/>
      <c r="K660" s="61"/>
      <c r="L660" s="6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61"/>
      <c r="J661" s="61"/>
      <c r="K661" s="61"/>
      <c r="L661" s="6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61"/>
      <c r="J662" s="61"/>
      <c r="K662" s="61"/>
      <c r="L662" s="6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61"/>
      <c r="J663" s="61"/>
      <c r="K663" s="61"/>
      <c r="L663" s="6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61"/>
      <c r="J664" s="61"/>
      <c r="K664" s="61"/>
      <c r="L664" s="6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61"/>
      <c r="J665" s="61"/>
      <c r="K665" s="61"/>
      <c r="L665" s="6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61"/>
      <c r="J666" s="61"/>
      <c r="K666" s="61"/>
      <c r="L666" s="6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61"/>
      <c r="J667" s="61"/>
      <c r="K667" s="61"/>
      <c r="L667" s="6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61"/>
      <c r="J668" s="61"/>
      <c r="K668" s="61"/>
      <c r="L668" s="6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61"/>
      <c r="J669" s="61"/>
      <c r="K669" s="61"/>
      <c r="L669" s="6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61"/>
      <c r="J670" s="61"/>
      <c r="K670" s="61"/>
      <c r="L670" s="6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61"/>
      <c r="J671" s="61"/>
      <c r="K671" s="61"/>
      <c r="L671" s="6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61"/>
      <c r="J672" s="61"/>
      <c r="K672" s="61"/>
      <c r="L672" s="6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61"/>
      <c r="J673" s="61"/>
      <c r="K673" s="61"/>
      <c r="L673" s="6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61"/>
      <c r="J674" s="61"/>
      <c r="K674" s="61"/>
      <c r="L674" s="6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61"/>
      <c r="J675" s="61"/>
      <c r="K675" s="61"/>
      <c r="L675" s="6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61"/>
      <c r="J676" s="61"/>
      <c r="K676" s="61"/>
      <c r="L676" s="6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61"/>
      <c r="J677" s="61"/>
      <c r="K677" s="61"/>
      <c r="L677" s="6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61"/>
      <c r="J678" s="61"/>
      <c r="K678" s="61"/>
      <c r="L678" s="6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61"/>
      <c r="J679" s="61"/>
      <c r="K679" s="61"/>
      <c r="L679" s="6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61"/>
      <c r="J680" s="61"/>
      <c r="K680" s="61"/>
      <c r="L680" s="6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61"/>
      <c r="J681" s="61"/>
      <c r="K681" s="61"/>
      <c r="L681" s="6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61"/>
      <c r="J682" s="61"/>
      <c r="K682" s="61"/>
      <c r="L682" s="6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61"/>
      <c r="J683" s="61"/>
      <c r="K683" s="61"/>
      <c r="L683" s="6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61"/>
      <c r="J684" s="61"/>
      <c r="K684" s="61"/>
      <c r="L684" s="6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61"/>
      <c r="J685" s="61"/>
      <c r="K685" s="61"/>
      <c r="L685" s="6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61"/>
      <c r="J686" s="61"/>
      <c r="K686" s="61"/>
      <c r="L686" s="6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61"/>
      <c r="J687" s="61"/>
      <c r="K687" s="61"/>
      <c r="L687" s="6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61"/>
      <c r="J688" s="61"/>
      <c r="K688" s="61"/>
      <c r="L688" s="6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61"/>
      <c r="J689" s="61"/>
      <c r="K689" s="61"/>
      <c r="L689" s="6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61"/>
      <c r="J690" s="61"/>
      <c r="K690" s="61"/>
      <c r="L690" s="6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61"/>
      <c r="J691" s="61"/>
      <c r="K691" s="61"/>
      <c r="L691" s="6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61"/>
      <c r="J692" s="61"/>
      <c r="K692" s="61"/>
      <c r="L692" s="6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61"/>
      <c r="J693" s="61"/>
      <c r="K693" s="61"/>
      <c r="L693" s="6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61"/>
      <c r="J694" s="61"/>
      <c r="K694" s="61"/>
      <c r="L694" s="6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61"/>
      <c r="J695" s="61"/>
      <c r="K695" s="61"/>
      <c r="L695" s="6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61"/>
      <c r="J696" s="61"/>
      <c r="K696" s="61"/>
      <c r="L696" s="6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61"/>
      <c r="J697" s="61"/>
      <c r="K697" s="61"/>
      <c r="L697" s="6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61"/>
      <c r="J698" s="61"/>
      <c r="K698" s="61"/>
      <c r="L698" s="6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61"/>
      <c r="J699" s="61"/>
      <c r="K699" s="61"/>
      <c r="L699" s="6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61"/>
      <c r="J700" s="61"/>
      <c r="K700" s="61"/>
      <c r="L700" s="6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61"/>
      <c r="J701" s="61"/>
      <c r="K701" s="61"/>
      <c r="L701" s="6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61"/>
      <c r="J702" s="61"/>
      <c r="K702" s="61"/>
      <c r="L702" s="6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61"/>
      <c r="J703" s="61"/>
      <c r="K703" s="61"/>
      <c r="L703" s="6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61"/>
      <c r="J704" s="61"/>
      <c r="K704" s="61"/>
      <c r="L704" s="6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61"/>
      <c r="J705" s="61"/>
      <c r="K705" s="61"/>
      <c r="L705" s="6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61"/>
      <c r="J706" s="61"/>
      <c r="K706" s="61"/>
      <c r="L706" s="6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61"/>
      <c r="J707" s="61"/>
      <c r="K707" s="61"/>
      <c r="L707" s="6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61"/>
      <c r="J708" s="61"/>
      <c r="K708" s="61"/>
      <c r="L708" s="6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61"/>
      <c r="J709" s="61"/>
      <c r="K709" s="61"/>
      <c r="L709" s="6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61"/>
      <c r="J710" s="61"/>
      <c r="K710" s="61"/>
      <c r="L710" s="6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61"/>
      <c r="J711" s="61"/>
      <c r="K711" s="61"/>
      <c r="L711" s="6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61"/>
      <c r="J712" s="61"/>
      <c r="K712" s="61"/>
      <c r="L712" s="6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61"/>
      <c r="J713" s="61"/>
      <c r="K713" s="61"/>
      <c r="L713" s="6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61"/>
      <c r="J714" s="61"/>
      <c r="K714" s="61"/>
      <c r="L714" s="6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61"/>
      <c r="J715" s="61"/>
      <c r="K715" s="61"/>
      <c r="L715" s="6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61"/>
      <c r="J716" s="61"/>
      <c r="K716" s="61"/>
      <c r="L716" s="6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61"/>
      <c r="J717" s="61"/>
      <c r="K717" s="61"/>
      <c r="L717" s="6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61"/>
      <c r="J718" s="61"/>
      <c r="K718" s="61"/>
      <c r="L718" s="6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61"/>
      <c r="J719" s="61"/>
      <c r="K719" s="61"/>
      <c r="L719" s="6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61"/>
      <c r="J720" s="61"/>
      <c r="K720" s="61"/>
      <c r="L720" s="6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61"/>
      <c r="J721" s="61"/>
      <c r="K721" s="61"/>
      <c r="L721" s="6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61"/>
      <c r="J722" s="61"/>
      <c r="K722" s="61"/>
      <c r="L722" s="6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61"/>
      <c r="J723" s="61"/>
      <c r="K723" s="61"/>
      <c r="L723" s="6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61"/>
      <c r="J724" s="61"/>
      <c r="K724" s="61"/>
      <c r="L724" s="6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61"/>
      <c r="J725" s="61"/>
      <c r="K725" s="61"/>
      <c r="L725" s="6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61"/>
      <c r="J726" s="61"/>
      <c r="K726" s="61"/>
      <c r="L726" s="6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61"/>
      <c r="J727" s="61"/>
      <c r="K727" s="61"/>
      <c r="L727" s="6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61"/>
      <c r="J728" s="61"/>
      <c r="K728" s="61"/>
      <c r="L728" s="6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61"/>
      <c r="J729" s="61"/>
      <c r="K729" s="61"/>
      <c r="L729" s="6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61"/>
      <c r="J730" s="61"/>
      <c r="K730" s="61"/>
      <c r="L730" s="6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61"/>
      <c r="J731" s="61"/>
      <c r="K731" s="61"/>
      <c r="L731" s="6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61"/>
      <c r="J732" s="61"/>
      <c r="K732" s="61"/>
      <c r="L732" s="6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61"/>
      <c r="J733" s="61"/>
      <c r="K733" s="61"/>
      <c r="L733" s="6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61"/>
      <c r="J734" s="61"/>
      <c r="K734" s="61"/>
      <c r="L734" s="6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61"/>
      <c r="J735" s="61"/>
      <c r="K735" s="61"/>
      <c r="L735" s="6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61"/>
      <c r="J736" s="61"/>
      <c r="K736" s="61"/>
      <c r="L736" s="6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61"/>
      <c r="J737" s="61"/>
      <c r="K737" s="61"/>
      <c r="L737" s="6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61"/>
      <c r="J738" s="61"/>
      <c r="K738" s="61"/>
      <c r="L738" s="6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61"/>
      <c r="J739" s="61"/>
      <c r="K739" s="61"/>
      <c r="L739" s="6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61"/>
      <c r="J740" s="61"/>
      <c r="K740" s="61"/>
      <c r="L740" s="6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61"/>
      <c r="J741" s="61"/>
      <c r="K741" s="61"/>
      <c r="L741" s="6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61"/>
      <c r="J742" s="61"/>
      <c r="K742" s="61"/>
      <c r="L742" s="6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61"/>
      <c r="J743" s="61"/>
      <c r="K743" s="61"/>
      <c r="L743" s="6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61"/>
      <c r="J744" s="61"/>
      <c r="K744" s="61"/>
      <c r="L744" s="6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61"/>
      <c r="J745" s="61"/>
      <c r="K745" s="61"/>
      <c r="L745" s="6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61"/>
      <c r="J746" s="61"/>
      <c r="K746" s="61"/>
      <c r="L746" s="6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61"/>
      <c r="J747" s="61"/>
      <c r="K747" s="61"/>
      <c r="L747" s="6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61"/>
      <c r="J748" s="61"/>
      <c r="K748" s="61"/>
      <c r="L748" s="6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61"/>
      <c r="J749" s="61"/>
      <c r="K749" s="61"/>
      <c r="L749" s="6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61"/>
      <c r="J750" s="61"/>
      <c r="K750" s="61"/>
      <c r="L750" s="6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61"/>
      <c r="J751" s="61"/>
      <c r="K751" s="61"/>
      <c r="L751" s="6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61"/>
      <c r="J752" s="61"/>
      <c r="K752" s="61"/>
      <c r="L752" s="6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61"/>
      <c r="J753" s="61"/>
      <c r="K753" s="61"/>
      <c r="L753" s="6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61"/>
      <c r="J754" s="61"/>
      <c r="K754" s="61"/>
      <c r="L754" s="6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61"/>
      <c r="J755" s="61"/>
      <c r="K755" s="61"/>
      <c r="L755" s="6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61"/>
      <c r="J756" s="61"/>
      <c r="K756" s="61"/>
      <c r="L756" s="6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61"/>
      <c r="J757" s="61"/>
      <c r="K757" s="61"/>
      <c r="L757" s="6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61"/>
      <c r="J758" s="61"/>
      <c r="K758" s="61"/>
      <c r="L758" s="6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61"/>
      <c r="J759" s="61"/>
      <c r="K759" s="61"/>
      <c r="L759" s="6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61"/>
      <c r="J760" s="61"/>
      <c r="K760" s="61"/>
      <c r="L760" s="6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61"/>
      <c r="J761" s="61"/>
      <c r="K761" s="61"/>
      <c r="L761" s="6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61"/>
      <c r="J762" s="61"/>
      <c r="K762" s="61"/>
      <c r="L762" s="6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61"/>
      <c r="J763" s="61"/>
      <c r="K763" s="61"/>
      <c r="L763" s="6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61"/>
      <c r="J764" s="61"/>
      <c r="K764" s="61"/>
      <c r="L764" s="6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61"/>
      <c r="J765" s="61"/>
      <c r="K765" s="61"/>
      <c r="L765" s="6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61"/>
      <c r="J766" s="61"/>
      <c r="K766" s="61"/>
      <c r="L766" s="6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61"/>
      <c r="J767" s="61"/>
      <c r="K767" s="61"/>
      <c r="L767" s="6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61"/>
      <c r="J768" s="61"/>
      <c r="K768" s="61"/>
      <c r="L768" s="6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61"/>
      <c r="J769" s="61"/>
      <c r="K769" s="61"/>
      <c r="L769" s="6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61"/>
      <c r="J770" s="61"/>
      <c r="K770" s="61"/>
      <c r="L770" s="6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61"/>
      <c r="J771" s="61"/>
      <c r="K771" s="61"/>
      <c r="L771" s="6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61"/>
      <c r="J772" s="61"/>
      <c r="K772" s="61"/>
      <c r="L772" s="6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61"/>
      <c r="J773" s="61"/>
      <c r="K773" s="61"/>
      <c r="L773" s="6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61"/>
      <c r="J774" s="61"/>
      <c r="K774" s="61"/>
      <c r="L774" s="6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61"/>
      <c r="J775" s="61"/>
      <c r="K775" s="61"/>
      <c r="L775" s="6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61"/>
      <c r="J776" s="61"/>
      <c r="K776" s="61"/>
      <c r="L776" s="6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61"/>
      <c r="J777" s="61"/>
      <c r="K777" s="61"/>
      <c r="L777" s="6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61"/>
      <c r="J778" s="61"/>
      <c r="K778" s="61"/>
      <c r="L778" s="6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61"/>
      <c r="J779" s="61"/>
      <c r="K779" s="61"/>
      <c r="L779" s="6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61"/>
      <c r="J780" s="61"/>
      <c r="K780" s="61"/>
      <c r="L780" s="6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61"/>
      <c r="J781" s="61"/>
      <c r="K781" s="61"/>
      <c r="L781" s="6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61"/>
      <c r="J782" s="61"/>
      <c r="K782" s="61"/>
      <c r="L782" s="6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61"/>
      <c r="J783" s="61"/>
      <c r="K783" s="61"/>
      <c r="L783" s="6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61"/>
      <c r="J784" s="61"/>
      <c r="K784" s="61"/>
      <c r="L784" s="6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61"/>
      <c r="J785" s="61"/>
      <c r="K785" s="61"/>
      <c r="L785" s="6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61"/>
      <c r="J786" s="61"/>
      <c r="K786" s="61"/>
      <c r="L786" s="6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61"/>
      <c r="J787" s="61"/>
      <c r="K787" s="61"/>
      <c r="L787" s="6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61"/>
      <c r="J788" s="61"/>
      <c r="K788" s="61"/>
      <c r="L788" s="6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61"/>
      <c r="J789" s="61"/>
      <c r="K789" s="61"/>
      <c r="L789" s="6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61"/>
      <c r="J790" s="61"/>
      <c r="K790" s="61"/>
      <c r="L790" s="6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61"/>
      <c r="J791" s="61"/>
      <c r="K791" s="61"/>
      <c r="L791" s="6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61"/>
      <c r="J792" s="61"/>
      <c r="K792" s="61"/>
      <c r="L792" s="6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61"/>
      <c r="J793" s="61"/>
      <c r="K793" s="61"/>
      <c r="L793" s="6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61"/>
      <c r="J794" s="61"/>
      <c r="K794" s="61"/>
      <c r="L794" s="6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61"/>
      <c r="J795" s="61"/>
      <c r="K795" s="61"/>
      <c r="L795" s="6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61"/>
      <c r="J796" s="61"/>
      <c r="K796" s="61"/>
      <c r="L796" s="6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61"/>
      <c r="J797" s="61"/>
      <c r="K797" s="61"/>
      <c r="L797" s="6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61"/>
      <c r="J798" s="61"/>
      <c r="K798" s="61"/>
      <c r="L798" s="6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61"/>
      <c r="J799" s="61"/>
      <c r="K799" s="61"/>
      <c r="L799" s="6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61"/>
      <c r="J800" s="61"/>
      <c r="K800" s="61"/>
      <c r="L800" s="6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61"/>
      <c r="J801" s="61"/>
      <c r="K801" s="61"/>
      <c r="L801" s="6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61"/>
      <c r="J802" s="61"/>
      <c r="K802" s="61"/>
      <c r="L802" s="6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61"/>
      <c r="J803" s="61"/>
      <c r="K803" s="61"/>
      <c r="L803" s="6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61"/>
      <c r="J804" s="61"/>
      <c r="K804" s="61"/>
      <c r="L804" s="6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61"/>
      <c r="J805" s="61"/>
      <c r="K805" s="61"/>
      <c r="L805" s="6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61"/>
      <c r="J806" s="61"/>
      <c r="K806" s="61"/>
      <c r="L806" s="6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61"/>
      <c r="J807" s="61"/>
      <c r="K807" s="61"/>
      <c r="L807" s="6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61"/>
      <c r="J808" s="61"/>
      <c r="K808" s="61"/>
      <c r="L808" s="6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61"/>
      <c r="J809" s="61"/>
      <c r="K809" s="61"/>
      <c r="L809" s="6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61"/>
      <c r="J810" s="61"/>
      <c r="K810" s="61"/>
      <c r="L810" s="6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61"/>
      <c r="J811" s="61"/>
      <c r="K811" s="61"/>
      <c r="L811" s="6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61"/>
      <c r="J812" s="61"/>
      <c r="K812" s="61"/>
      <c r="L812" s="6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61"/>
      <c r="J813" s="61"/>
      <c r="K813" s="61"/>
      <c r="L813" s="6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61"/>
      <c r="J814" s="61"/>
      <c r="K814" s="61"/>
      <c r="L814" s="6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61"/>
      <c r="J815" s="61"/>
      <c r="K815" s="61"/>
      <c r="L815" s="6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61"/>
      <c r="J816" s="61"/>
      <c r="K816" s="61"/>
      <c r="L816" s="6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61"/>
      <c r="J817" s="61"/>
      <c r="K817" s="61"/>
      <c r="L817" s="6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61"/>
      <c r="J818" s="61"/>
      <c r="K818" s="61"/>
      <c r="L818" s="6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61"/>
      <c r="J819" s="61"/>
      <c r="K819" s="61"/>
      <c r="L819" s="6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61"/>
      <c r="J820" s="61"/>
      <c r="K820" s="61"/>
      <c r="L820" s="6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61"/>
      <c r="J821" s="61"/>
      <c r="K821" s="61"/>
      <c r="L821" s="6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61"/>
      <c r="J822" s="61"/>
      <c r="K822" s="61"/>
      <c r="L822" s="6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61"/>
      <c r="J823" s="61"/>
      <c r="K823" s="61"/>
      <c r="L823" s="6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61"/>
      <c r="J824" s="61"/>
      <c r="K824" s="61"/>
      <c r="L824" s="6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61"/>
      <c r="J825" s="61"/>
      <c r="K825" s="61"/>
      <c r="L825" s="6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61"/>
      <c r="J826" s="61"/>
      <c r="K826" s="61"/>
      <c r="L826" s="6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61"/>
      <c r="J827" s="61"/>
      <c r="K827" s="61"/>
      <c r="L827" s="6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61"/>
      <c r="J828" s="61"/>
      <c r="K828" s="61"/>
      <c r="L828" s="6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61"/>
      <c r="J829" s="61"/>
      <c r="K829" s="61"/>
      <c r="L829" s="6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61"/>
      <c r="J830" s="61"/>
      <c r="K830" s="61"/>
      <c r="L830" s="6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61"/>
      <c r="J831" s="61"/>
      <c r="K831" s="61"/>
      <c r="L831" s="6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61"/>
      <c r="J832" s="61"/>
      <c r="K832" s="61"/>
      <c r="L832" s="6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61"/>
      <c r="J833" s="61"/>
      <c r="K833" s="61"/>
      <c r="L833" s="6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61"/>
      <c r="J834" s="61"/>
      <c r="K834" s="61"/>
      <c r="L834" s="6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61"/>
      <c r="J835" s="61"/>
      <c r="K835" s="61"/>
      <c r="L835" s="6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61"/>
      <c r="J836" s="61"/>
      <c r="K836" s="61"/>
      <c r="L836" s="6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61"/>
      <c r="J837" s="61"/>
      <c r="K837" s="61"/>
      <c r="L837" s="6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61"/>
      <c r="J838" s="61"/>
      <c r="K838" s="61"/>
      <c r="L838" s="6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61"/>
      <c r="J839" s="61"/>
      <c r="K839" s="61"/>
      <c r="L839" s="6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61"/>
      <c r="J840" s="61"/>
      <c r="K840" s="61"/>
      <c r="L840" s="6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61"/>
      <c r="J841" s="61"/>
      <c r="K841" s="61"/>
      <c r="L841" s="6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61"/>
      <c r="J842" s="61"/>
      <c r="K842" s="61"/>
      <c r="L842" s="6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61"/>
      <c r="J843" s="61"/>
      <c r="K843" s="61"/>
      <c r="L843" s="6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61"/>
      <c r="J844" s="61"/>
      <c r="K844" s="61"/>
      <c r="L844" s="6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61"/>
      <c r="J845" s="61"/>
      <c r="K845" s="61"/>
      <c r="L845" s="6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61"/>
      <c r="J846" s="61"/>
      <c r="K846" s="61"/>
      <c r="L846" s="6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61"/>
      <c r="J847" s="61"/>
      <c r="K847" s="61"/>
      <c r="L847" s="6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61"/>
      <c r="J848" s="61"/>
      <c r="K848" s="61"/>
      <c r="L848" s="6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61"/>
      <c r="J849" s="61"/>
      <c r="K849" s="61"/>
      <c r="L849" s="6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61"/>
      <c r="J850" s="61"/>
      <c r="K850" s="61"/>
      <c r="L850" s="6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61"/>
      <c r="J851" s="61"/>
      <c r="K851" s="61"/>
      <c r="L851" s="6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61"/>
      <c r="J852" s="61"/>
      <c r="K852" s="61"/>
      <c r="L852" s="6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61"/>
      <c r="J853" s="61"/>
      <c r="K853" s="61"/>
      <c r="L853" s="6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61"/>
      <c r="J854" s="61"/>
      <c r="K854" s="61"/>
      <c r="L854" s="6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61"/>
      <c r="J855" s="61"/>
      <c r="K855" s="61"/>
      <c r="L855" s="6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61"/>
      <c r="J856" s="61"/>
      <c r="K856" s="61"/>
      <c r="L856" s="6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61"/>
      <c r="J857" s="61"/>
      <c r="K857" s="61"/>
      <c r="L857" s="6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61"/>
      <c r="J858" s="61"/>
      <c r="K858" s="61"/>
      <c r="L858" s="6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61"/>
      <c r="J859" s="61"/>
      <c r="K859" s="61"/>
      <c r="L859" s="6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61"/>
      <c r="J860" s="61"/>
      <c r="K860" s="61"/>
      <c r="L860" s="6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61"/>
      <c r="J861" s="61"/>
      <c r="K861" s="61"/>
      <c r="L861" s="6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61"/>
      <c r="J862" s="61"/>
      <c r="K862" s="61"/>
      <c r="L862" s="6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61"/>
      <c r="J863" s="61"/>
      <c r="K863" s="61"/>
      <c r="L863" s="6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61"/>
      <c r="J864" s="61"/>
      <c r="K864" s="61"/>
      <c r="L864" s="6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61"/>
      <c r="J865" s="61"/>
      <c r="K865" s="61"/>
      <c r="L865" s="6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61"/>
      <c r="J866" s="61"/>
      <c r="K866" s="61"/>
      <c r="L866" s="6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61"/>
      <c r="J867" s="61"/>
      <c r="K867" s="61"/>
      <c r="L867" s="6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61"/>
      <c r="J868" s="61"/>
      <c r="K868" s="61"/>
      <c r="L868" s="6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61"/>
      <c r="J869" s="61"/>
      <c r="K869" s="61"/>
      <c r="L869" s="6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61"/>
      <c r="J870" s="61"/>
      <c r="K870" s="61"/>
      <c r="L870" s="6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61"/>
      <c r="J871" s="61"/>
      <c r="K871" s="61"/>
      <c r="L871" s="6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61"/>
      <c r="J872" s="61"/>
      <c r="K872" s="61"/>
      <c r="L872" s="6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61"/>
      <c r="J873" s="61"/>
      <c r="K873" s="61"/>
      <c r="L873" s="6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61"/>
      <c r="J874" s="61"/>
      <c r="K874" s="61"/>
      <c r="L874" s="6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61"/>
      <c r="J875" s="61"/>
      <c r="K875" s="61"/>
      <c r="L875" s="6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61"/>
      <c r="J876" s="61"/>
      <c r="K876" s="61"/>
      <c r="L876" s="6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61"/>
      <c r="J877" s="61"/>
      <c r="K877" s="61"/>
      <c r="L877" s="6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61"/>
      <c r="J878" s="61"/>
      <c r="K878" s="61"/>
      <c r="L878" s="6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61"/>
      <c r="J879" s="61"/>
      <c r="K879" s="61"/>
      <c r="L879" s="6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61"/>
      <c r="J880" s="61"/>
      <c r="K880" s="61"/>
      <c r="L880" s="6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61"/>
      <c r="J881" s="61"/>
      <c r="K881" s="61"/>
      <c r="L881" s="6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61"/>
      <c r="J882" s="61"/>
      <c r="K882" s="61"/>
      <c r="L882" s="6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61"/>
      <c r="J883" s="61"/>
      <c r="K883" s="61"/>
      <c r="L883" s="6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61"/>
      <c r="J884" s="61"/>
      <c r="K884" s="61"/>
      <c r="L884" s="6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61"/>
      <c r="J885" s="61"/>
      <c r="K885" s="61"/>
      <c r="L885" s="6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61"/>
      <c r="J886" s="61"/>
      <c r="K886" s="61"/>
      <c r="L886" s="6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61"/>
      <c r="J887" s="61"/>
      <c r="K887" s="61"/>
      <c r="L887" s="6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61"/>
      <c r="J888" s="61"/>
      <c r="K888" s="61"/>
      <c r="L888" s="6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61"/>
      <c r="J889" s="61"/>
      <c r="K889" s="61"/>
      <c r="L889" s="6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61"/>
      <c r="J890" s="61"/>
      <c r="K890" s="61"/>
      <c r="L890" s="6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61"/>
      <c r="J891" s="61"/>
      <c r="K891" s="61"/>
      <c r="L891" s="6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61"/>
      <c r="J892" s="61"/>
      <c r="K892" s="61"/>
      <c r="L892" s="6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61"/>
      <c r="J893" s="61"/>
      <c r="K893" s="61"/>
      <c r="L893" s="6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61"/>
      <c r="J894" s="61"/>
      <c r="K894" s="61"/>
      <c r="L894" s="6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61"/>
      <c r="J895" s="61"/>
      <c r="K895" s="61"/>
      <c r="L895" s="6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61"/>
      <c r="J896" s="61"/>
      <c r="K896" s="61"/>
      <c r="L896" s="6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61"/>
      <c r="J897" s="61"/>
      <c r="K897" s="61"/>
      <c r="L897" s="6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61"/>
      <c r="J898" s="61"/>
      <c r="K898" s="61"/>
      <c r="L898" s="6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61"/>
      <c r="J899" s="61"/>
      <c r="K899" s="61"/>
      <c r="L899" s="6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61"/>
      <c r="J900" s="61"/>
      <c r="K900" s="61"/>
      <c r="L900" s="6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61"/>
      <c r="J901" s="61"/>
      <c r="K901" s="61"/>
      <c r="L901" s="6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61"/>
      <c r="J902" s="61"/>
      <c r="K902" s="61"/>
      <c r="L902" s="6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61"/>
      <c r="J903" s="61"/>
      <c r="K903" s="61"/>
      <c r="L903" s="6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61"/>
      <c r="J904" s="61"/>
      <c r="K904" s="61"/>
      <c r="L904" s="6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61"/>
      <c r="J905" s="61"/>
      <c r="K905" s="61"/>
      <c r="L905" s="6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61"/>
      <c r="J906" s="61"/>
      <c r="K906" s="61"/>
      <c r="L906" s="6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61"/>
      <c r="J907" s="61"/>
      <c r="K907" s="61"/>
      <c r="L907" s="6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61"/>
      <c r="J908" s="61"/>
      <c r="K908" s="61"/>
      <c r="L908" s="6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61"/>
      <c r="J909" s="61"/>
      <c r="K909" s="61"/>
      <c r="L909" s="6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61"/>
      <c r="J910" s="61"/>
      <c r="K910" s="61"/>
      <c r="L910" s="6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61"/>
      <c r="J911" s="61"/>
      <c r="K911" s="61"/>
      <c r="L911" s="6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61"/>
      <c r="J912" s="61"/>
      <c r="K912" s="61"/>
      <c r="L912" s="6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61"/>
      <c r="J913" s="61"/>
      <c r="K913" s="61"/>
      <c r="L913" s="6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61"/>
      <c r="J914" s="61"/>
      <c r="K914" s="61"/>
      <c r="L914" s="6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61"/>
      <c r="J915" s="61"/>
      <c r="K915" s="61"/>
      <c r="L915" s="6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61"/>
      <c r="J916" s="61"/>
      <c r="K916" s="61"/>
      <c r="L916" s="6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61"/>
      <c r="J917" s="61"/>
      <c r="K917" s="61"/>
      <c r="L917" s="6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61"/>
      <c r="J918" s="61"/>
      <c r="K918" s="61"/>
      <c r="L918" s="6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61"/>
      <c r="J919" s="61"/>
      <c r="K919" s="61"/>
      <c r="L919" s="6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61"/>
      <c r="J920" s="61"/>
      <c r="K920" s="61"/>
      <c r="L920" s="6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61"/>
      <c r="J921" s="61"/>
      <c r="K921" s="61"/>
      <c r="L921" s="6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61"/>
      <c r="J922" s="61"/>
      <c r="K922" s="61"/>
      <c r="L922" s="6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61"/>
      <c r="J923" s="61"/>
      <c r="K923" s="61"/>
      <c r="L923" s="6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61"/>
      <c r="J924" s="61"/>
      <c r="K924" s="61"/>
      <c r="L924" s="6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61"/>
      <c r="J925" s="61"/>
      <c r="K925" s="61"/>
      <c r="L925" s="6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61"/>
      <c r="J926" s="61"/>
      <c r="K926" s="61"/>
      <c r="L926" s="6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61"/>
      <c r="J927" s="61"/>
      <c r="K927" s="61"/>
      <c r="L927" s="6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61"/>
      <c r="J928" s="61"/>
      <c r="K928" s="61"/>
      <c r="L928" s="6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61"/>
      <c r="J929" s="61"/>
      <c r="K929" s="61"/>
      <c r="L929" s="6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61"/>
      <c r="J930" s="61"/>
      <c r="K930" s="61"/>
      <c r="L930" s="6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61"/>
      <c r="J931" s="61"/>
      <c r="K931" s="61"/>
      <c r="L931" s="6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61"/>
      <c r="J932" s="61"/>
      <c r="K932" s="61"/>
      <c r="L932" s="6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61"/>
      <c r="J933" s="61"/>
      <c r="K933" s="61"/>
      <c r="L933" s="6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61"/>
      <c r="J934" s="61"/>
      <c r="K934" s="61"/>
      <c r="L934" s="6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61"/>
      <c r="J935" s="61"/>
      <c r="K935" s="61"/>
      <c r="L935" s="6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61"/>
      <c r="J936" s="61"/>
      <c r="K936" s="61"/>
      <c r="L936" s="6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61"/>
      <c r="J937" s="61"/>
      <c r="K937" s="61"/>
      <c r="L937" s="6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61"/>
      <c r="J938" s="61"/>
      <c r="K938" s="61"/>
      <c r="L938" s="6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61"/>
      <c r="J939" s="61"/>
      <c r="K939" s="61"/>
      <c r="L939" s="6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61"/>
      <c r="J940" s="61"/>
      <c r="K940" s="61"/>
      <c r="L940" s="6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61"/>
      <c r="J941" s="61"/>
      <c r="K941" s="61"/>
      <c r="L941" s="6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61"/>
      <c r="J942" s="61"/>
      <c r="K942" s="61"/>
      <c r="L942" s="6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61"/>
      <c r="J943" s="61"/>
      <c r="K943" s="61"/>
      <c r="L943" s="6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61"/>
      <c r="J944" s="61"/>
      <c r="K944" s="61"/>
      <c r="L944" s="6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61"/>
      <c r="J945" s="61"/>
      <c r="K945" s="61"/>
      <c r="L945" s="6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61"/>
      <c r="J946" s="61"/>
      <c r="K946" s="61"/>
      <c r="L946" s="6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61"/>
      <c r="J947" s="61"/>
      <c r="K947" s="61"/>
      <c r="L947" s="6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61"/>
      <c r="J948" s="61"/>
      <c r="K948" s="61"/>
      <c r="L948" s="6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61"/>
      <c r="J949" s="61"/>
      <c r="K949" s="61"/>
      <c r="L949" s="6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61"/>
      <c r="J950" s="61"/>
      <c r="K950" s="61"/>
      <c r="L950" s="6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61"/>
      <c r="J951" s="61"/>
      <c r="K951" s="61"/>
      <c r="L951" s="6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61"/>
      <c r="J952" s="61"/>
      <c r="K952" s="61"/>
      <c r="L952" s="6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61"/>
      <c r="J953" s="61"/>
      <c r="K953" s="61"/>
      <c r="L953" s="6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61"/>
      <c r="J954" s="61"/>
      <c r="K954" s="61"/>
      <c r="L954" s="6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61"/>
      <c r="J955" s="61"/>
      <c r="K955" s="61"/>
      <c r="L955" s="6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61"/>
      <c r="J956" s="61"/>
      <c r="K956" s="61"/>
      <c r="L956" s="6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61"/>
      <c r="J957" s="61"/>
      <c r="K957" s="61"/>
      <c r="L957" s="6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61"/>
      <c r="J958" s="61"/>
      <c r="K958" s="61"/>
      <c r="L958" s="6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61"/>
      <c r="J959" s="61"/>
      <c r="K959" s="61"/>
      <c r="L959" s="6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61"/>
      <c r="J960" s="61"/>
      <c r="K960" s="61"/>
      <c r="L960" s="6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61"/>
      <c r="J961" s="61"/>
      <c r="K961" s="61"/>
      <c r="L961" s="6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61"/>
      <c r="J962" s="61"/>
      <c r="K962" s="61"/>
      <c r="L962" s="6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61"/>
      <c r="J963" s="61"/>
      <c r="K963" s="61"/>
      <c r="L963" s="6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61"/>
      <c r="J964" s="61"/>
      <c r="K964" s="61"/>
      <c r="L964" s="6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61"/>
      <c r="J965" s="61"/>
      <c r="K965" s="61"/>
      <c r="L965" s="6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61"/>
      <c r="J966" s="61"/>
      <c r="K966" s="61"/>
      <c r="L966" s="6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61"/>
      <c r="J967" s="61"/>
      <c r="K967" s="61"/>
      <c r="L967" s="6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61"/>
      <c r="J968" s="61"/>
      <c r="K968" s="61"/>
      <c r="L968" s="6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61"/>
      <c r="J969" s="61"/>
      <c r="K969" s="61"/>
      <c r="L969" s="6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61"/>
      <c r="J970" s="61"/>
      <c r="K970" s="61"/>
      <c r="L970" s="6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61"/>
      <c r="J971" s="61"/>
      <c r="K971" s="61"/>
      <c r="L971" s="6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61"/>
      <c r="J972" s="61"/>
      <c r="K972" s="61"/>
      <c r="L972" s="6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61"/>
      <c r="J973" s="61"/>
      <c r="K973" s="61"/>
      <c r="L973" s="6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61"/>
      <c r="J974" s="61"/>
      <c r="K974" s="61"/>
      <c r="L974" s="6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61"/>
      <c r="J975" s="61"/>
      <c r="K975" s="61"/>
      <c r="L975" s="6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61"/>
      <c r="J976" s="61"/>
      <c r="K976" s="61"/>
      <c r="L976" s="6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61"/>
      <c r="J977" s="61"/>
      <c r="K977" s="61"/>
      <c r="L977" s="6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61"/>
      <c r="J978" s="61"/>
      <c r="K978" s="61"/>
      <c r="L978" s="6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61"/>
      <c r="J979" s="61"/>
      <c r="K979" s="61"/>
      <c r="L979" s="6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61"/>
      <c r="J980" s="61"/>
      <c r="K980" s="61"/>
      <c r="L980" s="6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61"/>
      <c r="J981" s="61"/>
      <c r="K981" s="61"/>
      <c r="L981" s="6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61"/>
      <c r="J982" s="61"/>
      <c r="K982" s="61"/>
      <c r="L982" s="6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61"/>
      <c r="J983" s="61"/>
      <c r="K983" s="61"/>
      <c r="L983" s="6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61"/>
      <c r="J984" s="61"/>
      <c r="K984" s="61"/>
      <c r="L984" s="6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61"/>
      <c r="J985" s="61"/>
      <c r="K985" s="61"/>
      <c r="L985" s="6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61"/>
      <c r="J986" s="61"/>
      <c r="K986" s="61"/>
      <c r="L986" s="6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61"/>
      <c r="J987" s="61"/>
      <c r="K987" s="61"/>
      <c r="L987" s="6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61"/>
      <c r="J988" s="61"/>
      <c r="K988" s="61"/>
      <c r="L988" s="6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61"/>
      <c r="J989" s="61"/>
      <c r="K989" s="61"/>
      <c r="L989" s="6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61"/>
      <c r="J990" s="61"/>
      <c r="K990" s="61"/>
      <c r="L990" s="6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61"/>
      <c r="J991" s="61"/>
      <c r="K991" s="61"/>
      <c r="L991" s="6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61"/>
      <c r="J992" s="61"/>
      <c r="K992" s="61"/>
      <c r="L992" s="6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61"/>
      <c r="J993" s="61"/>
      <c r="K993" s="61"/>
      <c r="L993" s="6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61"/>
      <c r="J994" s="61"/>
      <c r="K994" s="61"/>
      <c r="L994" s="6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61"/>
      <c r="J995" s="61"/>
      <c r="K995" s="61"/>
      <c r="L995" s="6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61"/>
      <c r="J996" s="61"/>
      <c r="K996" s="61"/>
      <c r="L996" s="6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61"/>
      <c r="J997" s="61"/>
      <c r="K997" s="61"/>
      <c r="L997" s="6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61"/>
      <c r="J998" s="61"/>
      <c r="K998" s="61"/>
      <c r="L998" s="6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61"/>
      <c r="J999" s="61"/>
      <c r="K999" s="61"/>
      <c r="L999" s="6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61"/>
      <c r="J1000" s="61"/>
      <c r="K1000" s="61"/>
      <c r="L1000" s="6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61"/>
      <c r="J1001" s="61"/>
      <c r="K1001" s="61"/>
      <c r="L1001" s="6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61"/>
      <c r="J1002" s="61"/>
      <c r="K1002" s="61"/>
      <c r="L1002" s="6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4">
    <mergeCell ref="A2:O2"/>
    <mergeCell ref="A3:O3"/>
    <mergeCell ref="A4:O5"/>
    <mergeCell ref="N8:O8"/>
  </mergeCells>
  <dataValidations>
    <dataValidation type="list" allowBlank="1" showErrorMessage="1" sqref="H7:H95">
      <formula1>"Mel,Flavia,Fernanda,ANA JULIA,Leticia,Miriã"</formula1>
    </dataValidation>
    <dataValidation type="list" allowBlank="1" showErrorMessage="1" sqref="A7:A95">
      <formula1>"Pix,Cartão,Pacote ,Pago "</formula1>
    </dataValidation>
    <dataValidation type="list" allowBlank="1" showErrorMessage="1" sqref="D7:D95">
      <formula1>"White board,Cartoon ,3D ,3D personalizado,3D Premium,VSL,Logo,Post,Influencer Pamela,Influencer João B.,3D Estatico ,3D Realista,Edição audio,Pov,Flow,Personalização,Explainer"</formula1>
    </dataValidation>
    <dataValidation type="list" allowBlank="1" showErrorMessage="1" sqref="C7:C95">
      <formula1>"Vinicius,Kaua,Caio,Julia,Jhonatas,Diogo,Caio Ferreira,Pamelah,Caio Alves,Camila,Wiliam ,Gabriel ,Fernanda,Kaua Pessoni,Gabriel Batista,Gustavo Pereira,Demetrio ,Caio Vinicius,Wesley"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5" max="5" width="26.5"/>
  </cols>
  <sheetData>
    <row r="1">
      <c r="A1" s="1"/>
      <c r="B1" s="1"/>
      <c r="C1" s="2"/>
      <c r="D1" s="2"/>
      <c r="E1" s="2"/>
      <c r="F1" s="2"/>
      <c r="G1" s="2"/>
      <c r="H1" s="2"/>
      <c r="I1" s="67"/>
      <c r="J1" s="67"/>
      <c r="K1" s="67"/>
      <c r="L1" s="67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7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4" t="s">
        <v>3</v>
      </c>
      <c r="B6" s="15" t="s">
        <v>4</v>
      </c>
      <c r="C6" s="15" t="s">
        <v>5</v>
      </c>
      <c r="D6" s="15" t="s">
        <v>6</v>
      </c>
      <c r="E6" s="15" t="s">
        <v>7</v>
      </c>
      <c r="F6" s="16" t="s">
        <v>8</v>
      </c>
      <c r="G6" s="14" t="s">
        <v>9</v>
      </c>
      <c r="H6" s="14" t="s">
        <v>10</v>
      </c>
      <c r="I6" s="17" t="s">
        <v>11</v>
      </c>
      <c r="J6" s="18" t="s">
        <v>12</v>
      </c>
      <c r="K6" s="19" t="s">
        <v>13</v>
      </c>
      <c r="L6" s="20" t="s">
        <v>14</v>
      </c>
      <c r="M6" s="21" t="s">
        <v>15</v>
      </c>
      <c r="N6" s="2"/>
      <c r="O6" s="2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68" t="s">
        <v>20</v>
      </c>
      <c r="B7" s="69"/>
      <c r="C7" s="24"/>
      <c r="D7" s="68" t="s">
        <v>21</v>
      </c>
      <c r="E7" s="70" t="s">
        <v>22</v>
      </c>
      <c r="F7" s="71" t="s">
        <v>23</v>
      </c>
      <c r="G7" s="26"/>
      <c r="H7" s="32"/>
      <c r="I7" s="72"/>
      <c r="J7" s="73"/>
      <c r="K7" s="74"/>
      <c r="L7" s="75">
        <v>70.0</v>
      </c>
      <c r="M7" s="76">
        <v>70.0</v>
      </c>
      <c r="N7" s="2"/>
      <c r="O7" s="22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68" t="s">
        <v>20</v>
      </c>
      <c r="B8" s="69"/>
      <c r="C8" s="24"/>
      <c r="D8" s="68" t="s">
        <v>24</v>
      </c>
      <c r="E8" s="77" t="s">
        <v>25</v>
      </c>
      <c r="F8" s="78" t="s">
        <v>26</v>
      </c>
      <c r="G8" s="26"/>
      <c r="H8" s="27" t="s">
        <v>27</v>
      </c>
      <c r="I8" s="72"/>
      <c r="J8" s="79">
        <v>250.0</v>
      </c>
      <c r="K8" s="74"/>
      <c r="L8" s="80"/>
      <c r="M8" s="27">
        <v>125.0</v>
      </c>
      <c r="N8" s="33" t="s">
        <v>16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8" t="s">
        <v>20</v>
      </c>
      <c r="B9" s="81" t="s">
        <v>28</v>
      </c>
      <c r="C9" s="82" t="s">
        <v>29</v>
      </c>
      <c r="D9" s="68" t="s">
        <v>24</v>
      </c>
      <c r="E9" s="77" t="s">
        <v>30</v>
      </c>
      <c r="F9" s="78" t="s">
        <v>31</v>
      </c>
      <c r="G9" s="26"/>
      <c r="H9" s="32"/>
      <c r="I9" s="83">
        <v>250.0</v>
      </c>
      <c r="J9" s="73"/>
      <c r="K9" s="74"/>
      <c r="L9" s="80"/>
      <c r="M9" s="84">
        <v>250.0</v>
      </c>
      <c r="N9" s="17" t="s">
        <v>11</v>
      </c>
      <c r="O9" s="34">
        <f>SUM(I6:I95)</f>
        <v>500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3" t="s">
        <v>20</v>
      </c>
      <c r="B10" s="81" t="s">
        <v>28</v>
      </c>
      <c r="C10" s="82" t="s">
        <v>29</v>
      </c>
      <c r="D10" s="23" t="s">
        <v>24</v>
      </c>
      <c r="E10" s="77" t="s">
        <v>32</v>
      </c>
      <c r="F10" s="26" t="s">
        <v>31</v>
      </c>
      <c r="G10" s="26"/>
      <c r="H10" s="32"/>
      <c r="I10" s="85">
        <v>250.0</v>
      </c>
      <c r="J10" s="73"/>
      <c r="K10" s="74"/>
      <c r="L10" s="80"/>
      <c r="M10" s="86">
        <v>250.0</v>
      </c>
      <c r="N10" s="18" t="s">
        <v>12</v>
      </c>
      <c r="O10" s="34">
        <f>SUM(J7:J95)</f>
        <v>250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3"/>
      <c r="B11" s="23"/>
      <c r="C11" s="24"/>
      <c r="D11" s="23"/>
      <c r="E11" s="23"/>
      <c r="F11" s="26"/>
      <c r="G11" s="26"/>
      <c r="H11" s="32"/>
      <c r="I11" s="72"/>
      <c r="J11" s="73"/>
      <c r="K11" s="74"/>
      <c r="L11" s="80"/>
      <c r="M11" s="32"/>
      <c r="N11" s="19" t="s">
        <v>13</v>
      </c>
      <c r="O11" s="34">
        <f>SUM(K7:K96)</f>
        <v>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3"/>
      <c r="B12" s="23"/>
      <c r="C12" s="24"/>
      <c r="D12" s="23"/>
      <c r="E12" s="23"/>
      <c r="F12" s="26"/>
      <c r="G12" s="26"/>
      <c r="H12" s="32"/>
      <c r="I12" s="72"/>
      <c r="J12" s="73"/>
      <c r="K12" s="74"/>
      <c r="L12" s="80"/>
      <c r="M12" s="32"/>
      <c r="N12" s="20" t="s">
        <v>14</v>
      </c>
      <c r="O12" s="34">
        <f>SUM(L7:L96)</f>
        <v>70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3"/>
      <c r="B13" s="23"/>
      <c r="C13" s="24"/>
      <c r="D13" s="23"/>
      <c r="E13" s="26"/>
      <c r="F13" s="26"/>
      <c r="G13" s="26"/>
      <c r="H13" s="32"/>
      <c r="I13" s="72"/>
      <c r="J13" s="73"/>
      <c r="K13" s="74"/>
      <c r="L13" s="80"/>
      <c r="M13" s="35"/>
      <c r="N13" s="36" t="s">
        <v>17</v>
      </c>
      <c r="O13" s="37">
        <f>SUM(N8:O12)</f>
        <v>820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3"/>
      <c r="B14" s="23"/>
      <c r="C14" s="24"/>
      <c r="D14" s="23"/>
      <c r="E14" s="26"/>
      <c r="F14" s="26"/>
      <c r="G14" s="26"/>
      <c r="H14" s="32"/>
      <c r="I14" s="72"/>
      <c r="J14" s="73"/>
      <c r="K14" s="74"/>
      <c r="L14" s="80"/>
      <c r="M14" s="35"/>
      <c r="N14" s="2"/>
      <c r="O14" s="2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3"/>
      <c r="B15" s="23"/>
      <c r="C15" s="24"/>
      <c r="D15" s="23"/>
      <c r="E15" s="26"/>
      <c r="F15" s="26"/>
      <c r="G15" s="26"/>
      <c r="H15" s="32"/>
      <c r="I15" s="72"/>
      <c r="J15" s="73"/>
      <c r="K15" s="74"/>
      <c r="L15" s="80"/>
      <c r="M15" s="35"/>
      <c r="N15" s="2"/>
      <c r="O15" s="2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3"/>
      <c r="B16" s="23"/>
      <c r="C16" s="24"/>
      <c r="D16" s="23"/>
      <c r="E16" s="26"/>
      <c r="F16" s="26"/>
      <c r="G16" s="26"/>
      <c r="H16" s="32"/>
      <c r="I16" s="72"/>
      <c r="J16" s="73"/>
      <c r="K16" s="74"/>
      <c r="L16" s="80"/>
      <c r="M16" s="35"/>
      <c r="N16" s="2"/>
      <c r="O16" s="2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3"/>
      <c r="B17" s="23"/>
      <c r="C17" s="24"/>
      <c r="D17" s="23"/>
      <c r="E17" s="26"/>
      <c r="F17" s="26"/>
      <c r="G17" s="26"/>
      <c r="H17" s="32"/>
      <c r="I17" s="72"/>
      <c r="J17" s="73"/>
      <c r="K17" s="74"/>
      <c r="L17" s="80"/>
      <c r="M17" s="35"/>
      <c r="N17" s="2"/>
      <c r="O17" s="2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3"/>
      <c r="B18" s="23"/>
      <c r="C18" s="24"/>
      <c r="D18" s="23"/>
      <c r="E18" s="26"/>
      <c r="F18" s="26"/>
      <c r="G18" s="26"/>
      <c r="H18" s="32"/>
      <c r="I18" s="72"/>
      <c r="J18" s="73"/>
      <c r="K18" s="74"/>
      <c r="L18" s="80"/>
      <c r="M18" s="35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3"/>
      <c r="B19" s="23"/>
      <c r="C19" s="24"/>
      <c r="D19" s="23"/>
      <c r="E19" s="26"/>
      <c r="F19" s="26"/>
      <c r="G19" s="26"/>
      <c r="H19" s="32"/>
      <c r="I19" s="72"/>
      <c r="J19" s="73"/>
      <c r="K19" s="74"/>
      <c r="L19" s="80"/>
      <c r="M19" s="3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3"/>
      <c r="B20" s="23"/>
      <c r="C20" s="24"/>
      <c r="D20" s="23"/>
      <c r="E20" s="26"/>
      <c r="F20" s="26"/>
      <c r="G20" s="26"/>
      <c r="H20" s="32"/>
      <c r="I20" s="72"/>
      <c r="J20" s="73"/>
      <c r="K20" s="74"/>
      <c r="L20" s="80"/>
      <c r="M20" s="3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3"/>
      <c r="B21" s="23"/>
      <c r="C21" s="24"/>
      <c r="D21" s="23"/>
      <c r="E21" s="26"/>
      <c r="F21" s="26"/>
      <c r="G21" s="26"/>
      <c r="H21" s="32"/>
      <c r="I21" s="72"/>
      <c r="J21" s="73"/>
      <c r="K21" s="74"/>
      <c r="L21" s="80"/>
      <c r="M21" s="3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3"/>
      <c r="B22" s="23"/>
      <c r="C22" s="24"/>
      <c r="D22" s="23"/>
      <c r="E22" s="26"/>
      <c r="F22" s="26"/>
      <c r="G22" s="26"/>
      <c r="H22" s="32"/>
      <c r="I22" s="72"/>
      <c r="J22" s="73"/>
      <c r="K22" s="74"/>
      <c r="L22" s="80"/>
      <c r="M22" s="3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3"/>
      <c r="B23" s="23"/>
      <c r="C23" s="24"/>
      <c r="D23" s="23"/>
      <c r="E23" s="26"/>
      <c r="F23" s="26"/>
      <c r="G23" s="26"/>
      <c r="H23" s="32"/>
      <c r="I23" s="72"/>
      <c r="J23" s="73"/>
      <c r="K23" s="74"/>
      <c r="L23" s="80"/>
      <c r="M23" s="3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3"/>
      <c r="B24" s="23"/>
      <c r="C24" s="24"/>
      <c r="D24" s="23"/>
      <c r="E24" s="26"/>
      <c r="F24" s="26"/>
      <c r="G24" s="26"/>
      <c r="H24" s="32"/>
      <c r="I24" s="87"/>
      <c r="J24" s="88"/>
      <c r="K24" s="89"/>
      <c r="L24" s="90"/>
      <c r="M24" s="3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3"/>
      <c r="B25" s="23"/>
      <c r="C25" s="24"/>
      <c r="D25" s="23"/>
      <c r="E25" s="26"/>
      <c r="F25" s="26"/>
      <c r="G25" s="26"/>
      <c r="H25" s="32"/>
      <c r="I25" s="87"/>
      <c r="J25" s="88"/>
      <c r="K25" s="89"/>
      <c r="L25" s="90"/>
      <c r="M25" s="3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3"/>
      <c r="B26" s="23"/>
      <c r="C26" s="24"/>
      <c r="D26" s="23"/>
      <c r="E26" s="26"/>
      <c r="F26" s="26"/>
      <c r="G26" s="26"/>
      <c r="H26" s="32"/>
      <c r="I26" s="87"/>
      <c r="J26" s="88"/>
      <c r="K26" s="89"/>
      <c r="L26" s="90"/>
      <c r="M26" s="3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3"/>
      <c r="B27" s="23"/>
      <c r="C27" s="24"/>
      <c r="D27" s="23"/>
      <c r="E27" s="26"/>
      <c r="F27" s="26"/>
      <c r="G27" s="26"/>
      <c r="H27" s="32"/>
      <c r="I27" s="87"/>
      <c r="J27" s="88"/>
      <c r="K27" s="89"/>
      <c r="L27" s="90"/>
      <c r="M27" s="3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3"/>
      <c r="B28" s="23"/>
      <c r="C28" s="24"/>
      <c r="D28" s="23"/>
      <c r="E28" s="26"/>
      <c r="F28" s="26"/>
      <c r="G28" s="26"/>
      <c r="H28" s="32"/>
      <c r="I28" s="87"/>
      <c r="J28" s="88"/>
      <c r="K28" s="89"/>
      <c r="L28" s="90"/>
      <c r="M28" s="35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3"/>
      <c r="B29" s="23"/>
      <c r="C29" s="24"/>
      <c r="D29" s="23"/>
      <c r="E29" s="26"/>
      <c r="F29" s="26"/>
      <c r="G29" s="26"/>
      <c r="H29" s="32"/>
      <c r="I29" s="87"/>
      <c r="J29" s="88"/>
      <c r="K29" s="89"/>
      <c r="L29" s="90"/>
      <c r="M29" s="3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3"/>
      <c r="B30" s="23"/>
      <c r="C30" s="24"/>
      <c r="D30" s="23"/>
      <c r="E30" s="26"/>
      <c r="F30" s="26"/>
      <c r="G30" s="26"/>
      <c r="H30" s="32"/>
      <c r="I30" s="87"/>
      <c r="J30" s="88"/>
      <c r="K30" s="89"/>
      <c r="L30" s="90"/>
      <c r="M30" s="3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3"/>
      <c r="B31" s="23"/>
      <c r="C31" s="24"/>
      <c r="D31" s="23"/>
      <c r="E31" s="26"/>
      <c r="F31" s="26"/>
      <c r="G31" s="26"/>
      <c r="H31" s="32"/>
      <c r="I31" s="87"/>
      <c r="J31" s="88"/>
      <c r="K31" s="89"/>
      <c r="L31" s="90"/>
      <c r="M31" s="3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3"/>
      <c r="B32" s="23"/>
      <c r="C32" s="24"/>
      <c r="D32" s="23"/>
      <c r="E32" s="26"/>
      <c r="F32" s="26"/>
      <c r="G32" s="26"/>
      <c r="H32" s="32"/>
      <c r="I32" s="87"/>
      <c r="J32" s="88"/>
      <c r="K32" s="89"/>
      <c r="L32" s="90"/>
      <c r="M32" s="3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3"/>
      <c r="B33" s="23"/>
      <c r="C33" s="24"/>
      <c r="D33" s="23"/>
      <c r="E33" s="26"/>
      <c r="F33" s="26"/>
      <c r="G33" s="26"/>
      <c r="H33" s="32"/>
      <c r="I33" s="87"/>
      <c r="J33" s="88"/>
      <c r="K33" s="89"/>
      <c r="L33" s="90"/>
      <c r="M33" s="3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3"/>
      <c r="B34" s="23"/>
      <c r="C34" s="24"/>
      <c r="D34" s="23"/>
      <c r="E34" s="26"/>
      <c r="F34" s="26"/>
      <c r="G34" s="26"/>
      <c r="H34" s="32"/>
      <c r="I34" s="87"/>
      <c r="J34" s="88"/>
      <c r="K34" s="89"/>
      <c r="L34" s="90"/>
      <c r="M34" s="3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3"/>
      <c r="B35" s="23"/>
      <c r="C35" s="24"/>
      <c r="D35" s="23"/>
      <c r="E35" s="26"/>
      <c r="F35" s="26"/>
      <c r="G35" s="26"/>
      <c r="H35" s="32"/>
      <c r="I35" s="87"/>
      <c r="J35" s="88"/>
      <c r="K35" s="89"/>
      <c r="L35" s="90"/>
      <c r="M35" s="3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3"/>
      <c r="B36" s="23"/>
      <c r="C36" s="24"/>
      <c r="D36" s="23"/>
      <c r="E36" s="26"/>
      <c r="F36" s="26"/>
      <c r="G36" s="26"/>
      <c r="H36" s="32"/>
      <c r="I36" s="87"/>
      <c r="J36" s="73"/>
      <c r="K36" s="74"/>
      <c r="L36" s="80"/>
      <c r="M36" s="4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3"/>
      <c r="B37" s="23"/>
      <c r="C37" s="24"/>
      <c r="D37" s="23"/>
      <c r="E37" s="26"/>
      <c r="F37" s="26"/>
      <c r="G37" s="26"/>
      <c r="H37" s="32"/>
      <c r="I37" s="87"/>
      <c r="J37" s="73"/>
      <c r="K37" s="74"/>
      <c r="L37" s="80"/>
      <c r="M37" s="4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3"/>
      <c r="B38" s="23"/>
      <c r="C38" s="24"/>
      <c r="D38" s="23"/>
      <c r="E38" s="26"/>
      <c r="F38" s="26"/>
      <c r="G38" s="26"/>
      <c r="H38" s="32"/>
      <c r="I38" s="87"/>
      <c r="J38" s="73"/>
      <c r="K38" s="74"/>
      <c r="L38" s="80"/>
      <c r="M38" s="4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3"/>
      <c r="B39" s="23"/>
      <c r="C39" s="24"/>
      <c r="D39" s="23"/>
      <c r="E39" s="26"/>
      <c r="F39" s="26"/>
      <c r="G39" s="26"/>
      <c r="H39" s="32"/>
      <c r="I39" s="87"/>
      <c r="J39" s="73"/>
      <c r="K39" s="74"/>
      <c r="L39" s="80"/>
      <c r="M39" s="4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3"/>
      <c r="B40" s="23"/>
      <c r="C40" s="24"/>
      <c r="D40" s="23"/>
      <c r="E40" s="26"/>
      <c r="F40" s="26"/>
      <c r="G40" s="26"/>
      <c r="H40" s="32"/>
      <c r="I40" s="87"/>
      <c r="J40" s="73"/>
      <c r="K40" s="74"/>
      <c r="L40" s="80"/>
      <c r="M40" s="4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3"/>
      <c r="B41" s="23"/>
      <c r="C41" s="24"/>
      <c r="D41" s="23"/>
      <c r="E41" s="26"/>
      <c r="F41" s="26"/>
      <c r="G41" s="26"/>
      <c r="H41" s="32"/>
      <c r="I41" s="87"/>
      <c r="J41" s="73"/>
      <c r="K41" s="74"/>
      <c r="L41" s="80"/>
      <c r="M41" s="4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3"/>
      <c r="B42" s="23"/>
      <c r="C42" s="24"/>
      <c r="D42" s="23"/>
      <c r="E42" s="35"/>
      <c r="F42" s="35"/>
      <c r="G42" s="35"/>
      <c r="H42" s="32"/>
      <c r="I42" s="87"/>
      <c r="J42" s="73"/>
      <c r="K42" s="74"/>
      <c r="L42" s="80"/>
      <c r="M42" s="4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3"/>
      <c r="B43" s="23"/>
      <c r="C43" s="24"/>
      <c r="D43" s="23"/>
      <c r="E43" s="26"/>
      <c r="F43" s="26"/>
      <c r="G43" s="26"/>
      <c r="H43" s="32"/>
      <c r="I43" s="87"/>
      <c r="J43" s="73"/>
      <c r="K43" s="74"/>
      <c r="L43" s="80"/>
      <c r="M43" s="4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3"/>
      <c r="B44" s="23"/>
      <c r="C44" s="24"/>
      <c r="D44" s="23"/>
      <c r="E44" s="26"/>
      <c r="F44" s="26"/>
      <c r="G44" s="26"/>
      <c r="H44" s="32"/>
      <c r="I44" s="87"/>
      <c r="J44" s="73"/>
      <c r="K44" s="74"/>
      <c r="L44" s="80"/>
      <c r="M44" s="4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3"/>
      <c r="B45" s="23"/>
      <c r="C45" s="24"/>
      <c r="D45" s="23"/>
      <c r="E45" s="26"/>
      <c r="F45" s="26"/>
      <c r="G45" s="26"/>
      <c r="H45" s="32"/>
      <c r="I45" s="87"/>
      <c r="J45" s="73"/>
      <c r="K45" s="74"/>
      <c r="L45" s="80"/>
      <c r="M45" s="4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3"/>
      <c r="B46" s="23"/>
      <c r="C46" s="24"/>
      <c r="D46" s="23"/>
      <c r="E46" s="26"/>
      <c r="F46" s="26"/>
      <c r="G46" s="26"/>
      <c r="H46" s="32"/>
      <c r="I46" s="72"/>
      <c r="J46" s="73"/>
      <c r="K46" s="74"/>
      <c r="L46" s="80"/>
      <c r="M46" s="4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3"/>
      <c r="B47" s="23"/>
      <c r="C47" s="24"/>
      <c r="D47" s="23"/>
      <c r="E47" s="26"/>
      <c r="F47" s="26"/>
      <c r="G47" s="26"/>
      <c r="H47" s="32"/>
      <c r="I47" s="72"/>
      <c r="J47" s="73"/>
      <c r="K47" s="74"/>
      <c r="L47" s="80"/>
      <c r="M47" s="4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3"/>
      <c r="B48" s="23"/>
      <c r="C48" s="24"/>
      <c r="D48" s="23"/>
      <c r="E48" s="26"/>
      <c r="F48" s="26"/>
      <c r="G48" s="26"/>
      <c r="H48" s="32"/>
      <c r="I48" s="72"/>
      <c r="J48" s="73"/>
      <c r="K48" s="74"/>
      <c r="L48" s="80"/>
      <c r="M48" s="4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3"/>
      <c r="B49" s="23"/>
      <c r="C49" s="24"/>
      <c r="D49" s="23"/>
      <c r="E49" s="26"/>
      <c r="F49" s="26"/>
      <c r="G49" s="26"/>
      <c r="H49" s="32"/>
      <c r="I49" s="72"/>
      <c r="J49" s="73"/>
      <c r="K49" s="74"/>
      <c r="L49" s="80"/>
      <c r="M49" s="4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3"/>
      <c r="B50" s="23"/>
      <c r="C50" s="24"/>
      <c r="D50" s="23"/>
      <c r="E50" s="26"/>
      <c r="F50" s="26"/>
      <c r="G50" s="26"/>
      <c r="H50" s="32"/>
      <c r="I50" s="87"/>
      <c r="J50" s="73"/>
      <c r="K50" s="74"/>
      <c r="L50" s="80"/>
      <c r="M50" s="4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3"/>
      <c r="B51" s="23"/>
      <c r="C51" s="24"/>
      <c r="D51" s="23"/>
      <c r="E51" s="26"/>
      <c r="F51" s="26"/>
      <c r="G51" s="26"/>
      <c r="H51" s="32"/>
      <c r="I51" s="87"/>
      <c r="J51" s="73"/>
      <c r="K51" s="74"/>
      <c r="L51" s="80"/>
      <c r="M51" s="4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3"/>
      <c r="B52" s="23"/>
      <c r="C52" s="24"/>
      <c r="D52" s="23"/>
      <c r="E52" s="26"/>
      <c r="F52" s="26"/>
      <c r="G52" s="26"/>
      <c r="H52" s="32"/>
      <c r="I52" s="87"/>
      <c r="J52" s="73"/>
      <c r="K52" s="74"/>
      <c r="L52" s="80"/>
      <c r="M52" s="4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3"/>
      <c r="B53" s="23"/>
      <c r="C53" s="24"/>
      <c r="D53" s="23"/>
      <c r="E53" s="26"/>
      <c r="F53" s="26"/>
      <c r="G53" s="26"/>
      <c r="H53" s="32"/>
      <c r="I53" s="87"/>
      <c r="J53" s="73"/>
      <c r="K53" s="74"/>
      <c r="L53" s="80"/>
      <c r="M53" s="4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3"/>
      <c r="B54" s="23"/>
      <c r="C54" s="24"/>
      <c r="D54" s="23"/>
      <c r="E54" s="26"/>
      <c r="F54" s="26"/>
      <c r="G54" s="26"/>
      <c r="H54" s="32"/>
      <c r="I54" s="87"/>
      <c r="J54" s="73"/>
      <c r="K54" s="74"/>
      <c r="L54" s="80"/>
      <c r="M54" s="4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3"/>
      <c r="B55" s="23"/>
      <c r="C55" s="24"/>
      <c r="D55" s="23"/>
      <c r="E55" s="26"/>
      <c r="F55" s="26"/>
      <c r="G55" s="26"/>
      <c r="H55" s="32"/>
      <c r="I55" s="87"/>
      <c r="J55" s="73"/>
      <c r="K55" s="74"/>
      <c r="L55" s="80"/>
      <c r="M55" s="4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3"/>
      <c r="B56" s="23"/>
      <c r="C56" s="24"/>
      <c r="D56" s="23"/>
      <c r="E56" s="26"/>
      <c r="F56" s="26"/>
      <c r="G56" s="26"/>
      <c r="H56" s="32"/>
      <c r="I56" s="87"/>
      <c r="J56" s="73"/>
      <c r="K56" s="74"/>
      <c r="L56" s="80"/>
      <c r="M56" s="4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3"/>
      <c r="B57" s="23"/>
      <c r="C57" s="24"/>
      <c r="D57" s="23"/>
      <c r="E57" s="26"/>
      <c r="F57" s="26"/>
      <c r="G57" s="26"/>
      <c r="H57" s="32"/>
      <c r="I57" s="87"/>
      <c r="J57" s="88"/>
      <c r="K57" s="89"/>
      <c r="L57" s="90"/>
      <c r="M57" s="35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3"/>
      <c r="B58" s="23"/>
      <c r="C58" s="24"/>
      <c r="D58" s="23"/>
      <c r="E58" s="26"/>
      <c r="F58" s="26"/>
      <c r="G58" s="26"/>
      <c r="H58" s="32"/>
      <c r="I58" s="87"/>
      <c r="J58" s="73"/>
      <c r="K58" s="74"/>
      <c r="L58" s="80"/>
      <c r="M58" s="4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3"/>
      <c r="B59" s="23"/>
      <c r="C59" s="24"/>
      <c r="D59" s="23"/>
      <c r="E59" s="26"/>
      <c r="F59" s="26"/>
      <c r="G59" s="26"/>
      <c r="H59" s="32"/>
      <c r="I59" s="87"/>
      <c r="J59" s="73"/>
      <c r="K59" s="74"/>
      <c r="L59" s="80"/>
      <c r="M59" s="4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3"/>
      <c r="B60" s="23"/>
      <c r="C60" s="24"/>
      <c r="D60" s="23"/>
      <c r="E60" s="26"/>
      <c r="F60" s="26"/>
      <c r="G60" s="26"/>
      <c r="H60" s="32"/>
      <c r="I60" s="87"/>
      <c r="J60" s="73"/>
      <c r="K60" s="74"/>
      <c r="L60" s="80"/>
      <c r="M60" s="4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3"/>
      <c r="B61" s="23"/>
      <c r="C61" s="24"/>
      <c r="D61" s="23"/>
      <c r="E61" s="26"/>
      <c r="F61" s="26"/>
      <c r="G61" s="26"/>
      <c r="H61" s="32"/>
      <c r="I61" s="87"/>
      <c r="J61" s="73"/>
      <c r="K61" s="74"/>
      <c r="L61" s="80"/>
      <c r="M61" s="4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3"/>
      <c r="B62" s="23"/>
      <c r="C62" s="24"/>
      <c r="D62" s="23"/>
      <c r="E62" s="26"/>
      <c r="F62" s="26"/>
      <c r="G62" s="26"/>
      <c r="H62" s="32"/>
      <c r="I62" s="87"/>
      <c r="J62" s="73"/>
      <c r="K62" s="74"/>
      <c r="L62" s="80"/>
      <c r="M62" s="4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3"/>
      <c r="B63" s="23"/>
      <c r="C63" s="24"/>
      <c r="D63" s="23"/>
      <c r="E63" s="26"/>
      <c r="F63" s="26"/>
      <c r="G63" s="26"/>
      <c r="H63" s="32"/>
      <c r="I63" s="87"/>
      <c r="J63" s="73"/>
      <c r="K63" s="74"/>
      <c r="L63" s="80"/>
      <c r="M63" s="4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3"/>
      <c r="B64" s="23"/>
      <c r="C64" s="24"/>
      <c r="D64" s="23"/>
      <c r="E64" s="26"/>
      <c r="F64" s="26"/>
      <c r="G64" s="26"/>
      <c r="H64" s="32"/>
      <c r="I64" s="87"/>
      <c r="J64" s="73"/>
      <c r="K64" s="74"/>
      <c r="L64" s="80"/>
      <c r="M64" s="4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3"/>
      <c r="B65" s="23"/>
      <c r="C65" s="24"/>
      <c r="D65" s="23"/>
      <c r="E65" s="26"/>
      <c r="F65" s="26"/>
      <c r="G65" s="26"/>
      <c r="H65" s="32"/>
      <c r="I65" s="87"/>
      <c r="J65" s="73"/>
      <c r="K65" s="74"/>
      <c r="L65" s="80"/>
      <c r="M65" s="4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3"/>
      <c r="B66" s="23"/>
      <c r="C66" s="24"/>
      <c r="D66" s="23"/>
      <c r="E66" s="26"/>
      <c r="F66" s="26"/>
      <c r="G66" s="26"/>
      <c r="H66" s="32"/>
      <c r="I66" s="87"/>
      <c r="J66" s="73"/>
      <c r="K66" s="74"/>
      <c r="L66" s="80"/>
      <c r="M66" s="4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3"/>
      <c r="B67" s="23"/>
      <c r="C67" s="24"/>
      <c r="D67" s="23"/>
      <c r="E67" s="26"/>
      <c r="F67" s="26"/>
      <c r="G67" s="26"/>
      <c r="H67" s="32"/>
      <c r="I67" s="87"/>
      <c r="J67" s="73"/>
      <c r="K67" s="74"/>
      <c r="L67" s="80"/>
      <c r="M67" s="4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3"/>
      <c r="B68" s="23"/>
      <c r="C68" s="24"/>
      <c r="D68" s="23"/>
      <c r="E68" s="26"/>
      <c r="F68" s="26"/>
      <c r="G68" s="26"/>
      <c r="H68" s="32"/>
      <c r="I68" s="87"/>
      <c r="J68" s="73"/>
      <c r="K68" s="74"/>
      <c r="L68" s="80"/>
      <c r="M68" s="4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3"/>
      <c r="B69" s="23"/>
      <c r="C69" s="24"/>
      <c r="D69" s="23"/>
      <c r="E69" s="26"/>
      <c r="F69" s="26"/>
      <c r="G69" s="26"/>
      <c r="H69" s="32"/>
      <c r="I69" s="87"/>
      <c r="J69" s="73"/>
      <c r="K69" s="74"/>
      <c r="L69" s="80"/>
      <c r="M69" s="4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3"/>
      <c r="B70" s="23"/>
      <c r="C70" s="24"/>
      <c r="D70" s="23"/>
      <c r="E70" s="26"/>
      <c r="F70" s="26"/>
      <c r="G70" s="26"/>
      <c r="H70" s="32"/>
      <c r="I70" s="87"/>
      <c r="J70" s="73"/>
      <c r="K70" s="74"/>
      <c r="L70" s="80"/>
      <c r="M70" s="4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3"/>
      <c r="B71" s="23"/>
      <c r="C71" s="24"/>
      <c r="D71" s="23"/>
      <c r="E71" s="26"/>
      <c r="F71" s="26"/>
      <c r="G71" s="26"/>
      <c r="H71" s="32"/>
      <c r="I71" s="87"/>
      <c r="J71" s="73"/>
      <c r="K71" s="74"/>
      <c r="L71" s="80"/>
      <c r="M71" s="4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3"/>
      <c r="B72" s="23"/>
      <c r="C72" s="24"/>
      <c r="D72" s="23"/>
      <c r="E72" s="26"/>
      <c r="F72" s="26"/>
      <c r="G72" s="26"/>
      <c r="H72" s="32"/>
      <c r="I72" s="87"/>
      <c r="J72" s="73"/>
      <c r="K72" s="74"/>
      <c r="L72" s="80"/>
      <c r="M72" s="4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3"/>
      <c r="B73" s="23"/>
      <c r="C73" s="24"/>
      <c r="D73" s="23"/>
      <c r="E73" s="26"/>
      <c r="F73" s="26"/>
      <c r="G73" s="26"/>
      <c r="H73" s="32"/>
      <c r="I73" s="87"/>
      <c r="J73" s="88"/>
      <c r="K73" s="89"/>
      <c r="L73" s="90"/>
      <c r="M73" s="35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3"/>
      <c r="B74" s="23"/>
      <c r="C74" s="24"/>
      <c r="D74" s="23"/>
      <c r="E74" s="26"/>
      <c r="F74" s="26"/>
      <c r="G74" s="26"/>
      <c r="H74" s="32"/>
      <c r="I74" s="87"/>
      <c r="J74" s="73"/>
      <c r="K74" s="74"/>
      <c r="L74" s="80"/>
      <c r="M74" s="4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3"/>
      <c r="B75" s="23"/>
      <c r="C75" s="24"/>
      <c r="D75" s="23"/>
      <c r="E75" s="26"/>
      <c r="F75" s="26"/>
      <c r="G75" s="26"/>
      <c r="H75" s="32"/>
      <c r="I75" s="87"/>
      <c r="J75" s="73"/>
      <c r="K75" s="74"/>
      <c r="L75" s="80"/>
      <c r="M75" s="4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3"/>
      <c r="B76" s="23"/>
      <c r="C76" s="24"/>
      <c r="D76" s="23"/>
      <c r="E76" s="26"/>
      <c r="F76" s="26"/>
      <c r="G76" s="26"/>
      <c r="H76" s="32"/>
      <c r="I76" s="87"/>
      <c r="J76" s="73"/>
      <c r="K76" s="74"/>
      <c r="L76" s="80"/>
      <c r="M76" s="4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3"/>
      <c r="B77" s="23"/>
      <c r="C77" s="24"/>
      <c r="D77" s="23"/>
      <c r="E77" s="26"/>
      <c r="F77" s="26"/>
      <c r="G77" s="26"/>
      <c r="H77" s="32"/>
      <c r="I77" s="87"/>
      <c r="J77" s="73"/>
      <c r="K77" s="74"/>
      <c r="L77" s="80"/>
      <c r="M77" s="4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3"/>
      <c r="B78" s="23"/>
      <c r="C78" s="24"/>
      <c r="D78" s="23"/>
      <c r="E78" s="26"/>
      <c r="F78" s="26"/>
      <c r="G78" s="26"/>
      <c r="H78" s="32"/>
      <c r="I78" s="87"/>
      <c r="J78" s="73"/>
      <c r="K78" s="74"/>
      <c r="L78" s="80"/>
      <c r="M78" s="4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3"/>
      <c r="B79" s="23"/>
      <c r="C79" s="24"/>
      <c r="D79" s="23"/>
      <c r="E79" s="26"/>
      <c r="F79" s="26"/>
      <c r="G79" s="26"/>
      <c r="H79" s="32"/>
      <c r="I79" s="87"/>
      <c r="J79" s="73"/>
      <c r="K79" s="74"/>
      <c r="L79" s="80"/>
      <c r="M79" s="4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3"/>
      <c r="B80" s="23"/>
      <c r="C80" s="24"/>
      <c r="D80" s="23"/>
      <c r="E80" s="26"/>
      <c r="F80" s="26"/>
      <c r="G80" s="26"/>
      <c r="H80" s="32"/>
      <c r="I80" s="87"/>
      <c r="J80" s="88"/>
      <c r="K80" s="89"/>
      <c r="L80" s="90"/>
      <c r="M80" s="35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3"/>
      <c r="B81" s="23"/>
      <c r="C81" s="24"/>
      <c r="D81" s="23"/>
      <c r="E81" s="26"/>
      <c r="F81" s="26"/>
      <c r="G81" s="26"/>
      <c r="H81" s="32"/>
      <c r="I81" s="87"/>
      <c r="J81" s="73"/>
      <c r="K81" s="74"/>
      <c r="L81" s="80"/>
      <c r="M81" s="4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3"/>
      <c r="B82" s="23"/>
      <c r="C82" s="24"/>
      <c r="D82" s="23"/>
      <c r="E82" s="26"/>
      <c r="F82" s="26"/>
      <c r="G82" s="26"/>
      <c r="H82" s="32"/>
      <c r="I82" s="87"/>
      <c r="J82" s="73"/>
      <c r="K82" s="74"/>
      <c r="L82" s="80"/>
      <c r="M82" s="4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3"/>
      <c r="B83" s="23"/>
      <c r="C83" s="24"/>
      <c r="D83" s="23"/>
      <c r="E83" s="26"/>
      <c r="F83" s="26"/>
      <c r="G83" s="26"/>
      <c r="H83" s="32"/>
      <c r="I83" s="87"/>
      <c r="J83" s="88"/>
      <c r="K83" s="89"/>
      <c r="L83" s="90"/>
      <c r="M83" s="35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3"/>
      <c r="B84" s="23"/>
      <c r="C84" s="24"/>
      <c r="D84" s="23"/>
      <c r="E84" s="26"/>
      <c r="F84" s="26"/>
      <c r="G84" s="26"/>
      <c r="H84" s="32"/>
      <c r="I84" s="87"/>
      <c r="J84" s="88"/>
      <c r="K84" s="89"/>
      <c r="L84" s="90"/>
      <c r="M84" s="35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3"/>
      <c r="B85" s="23"/>
      <c r="C85" s="24"/>
      <c r="D85" s="23"/>
      <c r="E85" s="26"/>
      <c r="F85" s="26"/>
      <c r="G85" s="26"/>
      <c r="H85" s="32"/>
      <c r="I85" s="87"/>
      <c r="J85" s="88"/>
      <c r="K85" s="89"/>
      <c r="L85" s="90"/>
      <c r="M85" s="35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3"/>
      <c r="B86" s="23"/>
      <c r="C86" s="24"/>
      <c r="D86" s="23"/>
      <c r="E86" s="26"/>
      <c r="F86" s="26"/>
      <c r="G86" s="26"/>
      <c r="H86" s="32"/>
      <c r="I86" s="87"/>
      <c r="J86" s="88"/>
      <c r="K86" s="89"/>
      <c r="L86" s="90"/>
      <c r="M86" s="35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3"/>
      <c r="B87" s="23"/>
      <c r="C87" s="24"/>
      <c r="D87" s="23"/>
      <c r="E87" s="26"/>
      <c r="F87" s="26"/>
      <c r="G87" s="26"/>
      <c r="H87" s="32"/>
      <c r="I87" s="87"/>
      <c r="J87" s="88"/>
      <c r="K87" s="89"/>
      <c r="L87" s="90"/>
      <c r="M87" s="35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3"/>
      <c r="B88" s="23"/>
      <c r="C88" s="24"/>
      <c r="D88" s="23"/>
      <c r="E88" s="26"/>
      <c r="F88" s="26"/>
      <c r="G88" s="26"/>
      <c r="H88" s="32"/>
      <c r="I88" s="87"/>
      <c r="J88" s="88"/>
      <c r="K88" s="89"/>
      <c r="L88" s="90"/>
      <c r="M88" s="35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3"/>
      <c r="B89" s="23"/>
      <c r="C89" s="24"/>
      <c r="D89" s="23"/>
      <c r="E89" s="26"/>
      <c r="F89" s="26"/>
      <c r="G89" s="26"/>
      <c r="H89" s="32"/>
      <c r="I89" s="87"/>
      <c r="J89" s="88"/>
      <c r="K89" s="89"/>
      <c r="L89" s="90"/>
      <c r="M89" s="35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3"/>
      <c r="B90" s="23"/>
      <c r="C90" s="24"/>
      <c r="D90" s="23"/>
      <c r="E90" s="26"/>
      <c r="F90" s="26"/>
      <c r="G90" s="26"/>
      <c r="H90" s="32"/>
      <c r="I90" s="87"/>
      <c r="J90" s="88"/>
      <c r="K90" s="89"/>
      <c r="L90" s="90"/>
      <c r="M90" s="35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3"/>
      <c r="B91" s="23"/>
      <c r="C91" s="24"/>
      <c r="D91" s="23"/>
      <c r="E91" s="26"/>
      <c r="F91" s="26"/>
      <c r="G91" s="26"/>
      <c r="H91" s="32"/>
      <c r="I91" s="87"/>
      <c r="J91" s="88"/>
      <c r="K91" s="89"/>
      <c r="L91" s="90"/>
      <c r="M91" s="35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3"/>
      <c r="B92" s="23"/>
      <c r="C92" s="24"/>
      <c r="D92" s="23"/>
      <c r="E92" s="26"/>
      <c r="F92" s="26"/>
      <c r="G92" s="26"/>
      <c r="H92" s="32"/>
      <c r="I92" s="87"/>
      <c r="J92" s="88"/>
      <c r="K92" s="89"/>
      <c r="L92" s="90"/>
      <c r="M92" s="35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3"/>
      <c r="B93" s="23"/>
      <c r="C93" s="24"/>
      <c r="D93" s="23"/>
      <c r="E93" s="26"/>
      <c r="F93" s="26"/>
      <c r="G93" s="26"/>
      <c r="H93" s="32"/>
      <c r="I93" s="87"/>
      <c r="J93" s="88"/>
      <c r="K93" s="89"/>
      <c r="L93" s="90"/>
      <c r="M93" s="35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3"/>
      <c r="B94" s="23"/>
      <c r="C94" s="24"/>
      <c r="D94" s="23"/>
      <c r="E94" s="26"/>
      <c r="F94" s="26"/>
      <c r="G94" s="26"/>
      <c r="H94" s="32"/>
      <c r="I94" s="87"/>
      <c r="J94" s="88"/>
      <c r="K94" s="89"/>
      <c r="L94" s="90"/>
      <c r="M94" s="35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3"/>
      <c r="B95" s="23"/>
      <c r="C95" s="24"/>
      <c r="D95" s="23"/>
      <c r="E95" s="26"/>
      <c r="F95" s="26"/>
      <c r="G95" s="26"/>
      <c r="H95" s="32"/>
      <c r="I95" s="87"/>
      <c r="J95" s="88"/>
      <c r="K95" s="89"/>
      <c r="L95" s="90"/>
      <c r="M95" s="35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2"/>
      <c r="B96" s="1"/>
      <c r="C96" s="43"/>
      <c r="D96" s="44"/>
      <c r="E96" s="45"/>
      <c r="F96" s="2"/>
      <c r="G96" s="2"/>
      <c r="H96" s="32"/>
      <c r="I96" s="91"/>
      <c r="J96" s="92"/>
      <c r="K96" s="89"/>
      <c r="L96" s="90"/>
      <c r="M96" s="35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/>
      <c r="B97" s="1"/>
      <c r="C97" s="48"/>
      <c r="D97" s="49"/>
      <c r="E97" s="50"/>
      <c r="F97" s="2"/>
      <c r="G97" s="2"/>
      <c r="H97" s="2"/>
      <c r="I97" s="91"/>
      <c r="J97" s="91"/>
      <c r="K97" s="91"/>
      <c r="L97" s="91"/>
      <c r="M97" s="51">
        <f>SUM(M7:M96)</f>
        <v>695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/>
      <c r="B98" s="52"/>
      <c r="C98" s="43"/>
      <c r="D98" s="2"/>
      <c r="E98" s="2"/>
      <c r="F98" s="2"/>
      <c r="G98" s="2"/>
      <c r="H98" s="2"/>
      <c r="I98" s="91"/>
      <c r="J98" s="91"/>
      <c r="K98" s="91"/>
      <c r="L98" s="9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43"/>
      <c r="D99" s="2"/>
      <c r="E99" s="2"/>
      <c r="F99" s="2"/>
      <c r="G99" s="2"/>
      <c r="H99" s="2"/>
      <c r="I99" s="93"/>
      <c r="J99" s="91"/>
      <c r="K99" s="91"/>
      <c r="L99" s="9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2"/>
      <c r="D100" s="2"/>
      <c r="E100" s="2"/>
      <c r="F100" s="2"/>
      <c r="G100" s="2"/>
      <c r="H100" s="2"/>
      <c r="I100" s="91"/>
      <c r="J100" s="93"/>
      <c r="K100" s="93"/>
      <c r="L100" s="93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2"/>
      <c r="D101" s="2"/>
      <c r="E101" s="2"/>
      <c r="F101" s="2"/>
      <c r="G101" s="2"/>
      <c r="H101" s="2"/>
      <c r="I101" s="91"/>
      <c r="J101" s="91"/>
      <c r="K101" s="91"/>
      <c r="L101" s="9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2"/>
      <c r="D102" s="2"/>
      <c r="E102" s="2"/>
      <c r="F102" s="2"/>
      <c r="G102" s="2"/>
      <c r="H102" s="2"/>
      <c r="I102" s="91"/>
      <c r="J102" s="91"/>
      <c r="K102" s="91"/>
      <c r="L102" s="9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2"/>
      <c r="D103" s="2"/>
      <c r="E103" s="2"/>
      <c r="F103" s="2"/>
      <c r="G103" s="2"/>
      <c r="H103" s="2"/>
      <c r="I103" s="91"/>
      <c r="J103" s="91"/>
      <c r="K103" s="91"/>
      <c r="L103" s="9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2"/>
      <c r="D104" s="2"/>
      <c r="E104" s="2"/>
      <c r="F104" s="2"/>
      <c r="G104" s="2"/>
      <c r="H104" s="2"/>
      <c r="I104" s="91"/>
      <c r="J104" s="91"/>
      <c r="K104" s="91"/>
      <c r="L104" s="9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2"/>
      <c r="D105" s="2"/>
      <c r="E105" s="2"/>
      <c r="F105" s="2"/>
      <c r="G105" s="2"/>
      <c r="H105" s="2"/>
      <c r="I105" s="17" t="s">
        <v>11</v>
      </c>
      <c r="J105" s="91"/>
      <c r="K105" s="91"/>
      <c r="L105" s="9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2"/>
      <c r="D106" s="2"/>
      <c r="E106" s="2"/>
      <c r="F106" s="2"/>
      <c r="G106" s="2"/>
      <c r="H106" s="2"/>
      <c r="I106" s="54">
        <f>SUM(I7:I96)</f>
        <v>500</v>
      </c>
      <c r="J106" s="55" t="s">
        <v>12</v>
      </c>
      <c r="K106" s="94"/>
      <c r="L106" s="95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2"/>
      <c r="D107" s="2"/>
      <c r="E107" s="2"/>
      <c r="F107" s="2"/>
      <c r="G107" s="2"/>
      <c r="H107" s="2"/>
      <c r="I107" s="58">
        <f>SUM(I106*2%)</f>
        <v>10</v>
      </c>
      <c r="J107" s="59">
        <f>SUM(J7:J96)</f>
        <v>250</v>
      </c>
      <c r="K107" s="60" t="s">
        <v>18</v>
      </c>
      <c r="L107" s="95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54">
        <f>SUM(J107*2%)</f>
        <v>5</v>
      </c>
      <c r="K108" s="54">
        <f>SUM(K7:K96)</f>
        <v>0</v>
      </c>
      <c r="L108" s="62" t="s">
        <v>14</v>
      </c>
      <c r="M108" s="3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63"/>
      <c r="K109" s="58">
        <f>SUM(K108*2%)</f>
        <v>0</v>
      </c>
      <c r="L109" s="64">
        <f>SUM(L8:L97)</f>
        <v>0</v>
      </c>
      <c r="M109" s="65" t="s">
        <v>19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58">
        <f>SUM(L109*2%)</f>
        <v>0</v>
      </c>
      <c r="M110" s="66">
        <f>SUM(M97)</f>
        <v>695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4">
    <mergeCell ref="A2:O2"/>
    <mergeCell ref="A3:O3"/>
    <mergeCell ref="A4:O5"/>
    <mergeCell ref="N8:O8"/>
  </mergeCells>
  <dataValidations>
    <dataValidation type="list" allowBlank="1" showErrorMessage="1" sqref="H7:H96">
      <formula1>"Mel,Flavia,Fernanda,ANA JULIA,Leticia,Miriã"</formula1>
    </dataValidation>
    <dataValidation type="list" allowBlank="1" showErrorMessage="1" sqref="A7:A95">
      <formula1>"Pix,Cartão,Pacote ,Pago "</formula1>
    </dataValidation>
    <dataValidation type="list" allowBlank="1" showErrorMessage="1" sqref="D7:D95">
      <formula1>"White board,Cartoon ,3D ,3D personalizado,3D Premium,VSL,Logo,Post,Influencer Pamela,Influencer João B.,3D Estatico ,3D Realista,Edição audio,Pov,Flow,Personalização,Explainer"</formula1>
    </dataValidation>
    <dataValidation type="list" allowBlank="1" showErrorMessage="1" sqref="C7:C95">
      <formula1>"Vinicius,Kaua,Caio,Julia,Jhonatas,Diogo,Caio Ferreira,Pamelah,Caio Alves,Camila,Wiliam ,Gabriel ,Fernanda,Kaua Pessoni,Gabriel Batista,Gustavo Pereira,Demetrio ,Caio Vinicius,Wesley"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5" max="5" width="28.0"/>
    <col customWidth="1" min="6" max="6" width="15.63"/>
    <col customWidth="1" min="13" max="13" width="15.0"/>
  </cols>
  <sheetData>
    <row r="1">
      <c r="A1" s="96">
        <v>8.0</v>
      </c>
      <c r="B1" s="1"/>
      <c r="C1" s="2"/>
      <c r="D1" s="2"/>
      <c r="E1" s="2"/>
      <c r="F1" s="2"/>
      <c r="G1" s="2"/>
      <c r="H1" s="2"/>
      <c r="I1" s="67"/>
      <c r="J1" s="67"/>
      <c r="K1" s="67"/>
      <c r="L1" s="67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7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4" t="s">
        <v>3</v>
      </c>
      <c r="B6" s="15" t="s">
        <v>4</v>
      </c>
      <c r="C6" s="15" t="s">
        <v>5</v>
      </c>
      <c r="D6" s="15" t="s">
        <v>6</v>
      </c>
      <c r="E6" s="15" t="s">
        <v>7</v>
      </c>
      <c r="F6" s="16" t="s">
        <v>8</v>
      </c>
      <c r="G6" s="14" t="s">
        <v>9</v>
      </c>
      <c r="H6" s="14" t="s">
        <v>10</v>
      </c>
      <c r="I6" s="17" t="s">
        <v>11</v>
      </c>
      <c r="J6" s="18" t="s">
        <v>12</v>
      </c>
      <c r="K6" s="19" t="s">
        <v>13</v>
      </c>
      <c r="L6" s="20" t="s">
        <v>14</v>
      </c>
      <c r="M6" s="21" t="s">
        <v>15</v>
      </c>
      <c r="N6" s="2"/>
      <c r="O6" s="2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68" t="s">
        <v>20</v>
      </c>
      <c r="B7" s="23"/>
      <c r="C7" s="24"/>
      <c r="D7" s="68" t="s">
        <v>21</v>
      </c>
      <c r="E7" s="77" t="s">
        <v>33</v>
      </c>
      <c r="F7" s="97" t="s">
        <v>33</v>
      </c>
      <c r="G7" s="78" t="s">
        <v>34</v>
      </c>
      <c r="H7" s="24"/>
      <c r="I7" s="72"/>
      <c r="J7" s="79">
        <v>100.0</v>
      </c>
      <c r="K7" s="74"/>
      <c r="L7" s="80"/>
      <c r="M7" s="84">
        <v>100.0</v>
      </c>
      <c r="N7" s="2"/>
      <c r="O7" s="22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68" t="s">
        <v>35</v>
      </c>
      <c r="B8" s="23"/>
      <c r="C8" s="82" t="s">
        <v>36</v>
      </c>
      <c r="D8" s="68" t="s">
        <v>24</v>
      </c>
      <c r="E8" s="77" t="s">
        <v>37</v>
      </c>
      <c r="F8" s="26"/>
      <c r="G8" s="78" t="s">
        <v>38</v>
      </c>
      <c r="H8" s="82" t="s">
        <v>39</v>
      </c>
      <c r="I8" s="83">
        <v>900.0</v>
      </c>
      <c r="J8" s="73"/>
      <c r="K8" s="74"/>
      <c r="L8" s="80"/>
      <c r="M8" s="84">
        <v>900.0</v>
      </c>
      <c r="N8" s="33" t="s">
        <v>16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8" t="s">
        <v>20</v>
      </c>
      <c r="B9" s="23"/>
      <c r="C9" s="24"/>
      <c r="D9" s="68" t="s">
        <v>40</v>
      </c>
      <c r="E9" s="77" t="s">
        <v>41</v>
      </c>
      <c r="F9" s="26"/>
      <c r="G9" s="78" t="s">
        <v>42</v>
      </c>
      <c r="H9" s="24"/>
      <c r="I9" s="72"/>
      <c r="J9" s="79">
        <v>100.0</v>
      </c>
      <c r="K9" s="74"/>
      <c r="L9" s="80"/>
      <c r="M9" s="84">
        <v>100.0</v>
      </c>
      <c r="N9" s="17" t="s">
        <v>11</v>
      </c>
      <c r="O9" s="34">
        <f>SUM(I6:I95)</f>
        <v>2600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8" t="s">
        <v>20</v>
      </c>
      <c r="B10" s="23"/>
      <c r="C10" s="24"/>
      <c r="D10" s="68" t="s">
        <v>40</v>
      </c>
      <c r="E10" s="77" t="s">
        <v>43</v>
      </c>
      <c r="F10" s="26"/>
      <c r="G10" s="78" t="s">
        <v>44</v>
      </c>
      <c r="H10" s="24"/>
      <c r="I10" s="72"/>
      <c r="J10" s="79">
        <v>100.0</v>
      </c>
      <c r="K10" s="74"/>
      <c r="L10" s="80"/>
      <c r="M10" s="84">
        <v>100.0</v>
      </c>
      <c r="N10" s="18" t="s">
        <v>12</v>
      </c>
      <c r="O10" s="34">
        <f>SUM(J7:J95)</f>
        <v>800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68" t="s">
        <v>20</v>
      </c>
      <c r="B11" s="23"/>
      <c r="C11" s="82" t="s">
        <v>36</v>
      </c>
      <c r="D11" s="68" t="s">
        <v>45</v>
      </c>
      <c r="E11" s="98" t="s">
        <v>46</v>
      </c>
      <c r="F11" s="26"/>
      <c r="G11" s="78" t="s">
        <v>47</v>
      </c>
      <c r="H11" s="82" t="s">
        <v>13</v>
      </c>
      <c r="I11" s="72"/>
      <c r="J11" s="79">
        <v>300.0</v>
      </c>
      <c r="K11" s="74"/>
      <c r="L11" s="80"/>
      <c r="M11" s="27">
        <v>150.0</v>
      </c>
      <c r="N11" s="19" t="s">
        <v>13</v>
      </c>
      <c r="O11" s="34">
        <f>SUM(K7:K96)</f>
        <v>250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68" t="s">
        <v>20</v>
      </c>
      <c r="B12" s="23"/>
      <c r="C12" s="24"/>
      <c r="D12" s="68" t="s">
        <v>48</v>
      </c>
      <c r="E12" s="77" t="s">
        <v>49</v>
      </c>
      <c r="F12" s="26"/>
      <c r="G12" s="78" t="s">
        <v>50</v>
      </c>
      <c r="H12" s="24"/>
      <c r="I12" s="72"/>
      <c r="J12" s="73"/>
      <c r="K12" s="99">
        <v>50.0</v>
      </c>
      <c r="L12" s="80"/>
      <c r="M12" s="84">
        <v>50.0</v>
      </c>
      <c r="N12" s="20" t="s">
        <v>14</v>
      </c>
      <c r="O12" s="34">
        <f>SUM(L7:L96)</f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68" t="s">
        <v>51</v>
      </c>
      <c r="B13" s="23"/>
      <c r="C13" s="82" t="s">
        <v>52</v>
      </c>
      <c r="D13" s="68" t="s">
        <v>53</v>
      </c>
      <c r="E13" s="77" t="s">
        <v>54</v>
      </c>
      <c r="F13" s="26"/>
      <c r="G13" s="78" t="s">
        <v>55</v>
      </c>
      <c r="H13" s="82" t="s">
        <v>56</v>
      </c>
      <c r="I13" s="72"/>
      <c r="J13" s="79" t="s">
        <v>57</v>
      </c>
      <c r="K13" s="74"/>
      <c r="L13" s="80"/>
      <c r="M13" s="100" t="s">
        <v>58</v>
      </c>
      <c r="N13" s="36" t="s">
        <v>17</v>
      </c>
      <c r="O13" s="37">
        <f>SUM(N8:O12)</f>
        <v>3650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68" t="s">
        <v>20</v>
      </c>
      <c r="B14" s="23"/>
      <c r="C14" s="24"/>
      <c r="D14" s="68" t="s">
        <v>21</v>
      </c>
      <c r="E14" s="101" t="s">
        <v>59</v>
      </c>
      <c r="F14" s="26"/>
      <c r="G14" s="102" t="s">
        <v>60</v>
      </c>
      <c r="H14" s="24"/>
      <c r="I14" s="72"/>
      <c r="J14" s="73"/>
      <c r="K14" s="99">
        <v>100.0</v>
      </c>
      <c r="L14" s="80"/>
      <c r="M14" s="84">
        <v>100.0</v>
      </c>
      <c r="N14" s="2"/>
      <c r="O14" s="2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68" t="s">
        <v>20</v>
      </c>
      <c r="B15" s="23"/>
      <c r="C15" s="24"/>
      <c r="D15" s="68" t="s">
        <v>40</v>
      </c>
      <c r="E15" s="77" t="s">
        <v>61</v>
      </c>
      <c r="F15" s="26"/>
      <c r="G15" s="78" t="s">
        <v>62</v>
      </c>
      <c r="H15" s="24"/>
      <c r="I15" s="72"/>
      <c r="J15" s="79">
        <v>100.0</v>
      </c>
      <c r="K15" s="99"/>
      <c r="L15" s="80"/>
      <c r="M15" s="84">
        <v>100.0</v>
      </c>
      <c r="N15" s="2"/>
      <c r="O15" s="2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68" t="s">
        <v>20</v>
      </c>
      <c r="B16" s="23"/>
      <c r="C16" s="24"/>
      <c r="D16" s="68" t="s">
        <v>21</v>
      </c>
      <c r="E16" s="77" t="s">
        <v>63</v>
      </c>
      <c r="F16" s="26"/>
      <c r="G16" s="78" t="s">
        <v>64</v>
      </c>
      <c r="H16" s="24"/>
      <c r="I16" s="72"/>
      <c r="J16" s="79">
        <v>100.0</v>
      </c>
      <c r="K16" s="74"/>
      <c r="L16" s="80"/>
      <c r="M16" s="84">
        <v>100.0</v>
      </c>
      <c r="N16" s="2"/>
      <c r="O16" s="2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68" t="s">
        <v>51</v>
      </c>
      <c r="B17" s="23"/>
      <c r="C17" s="24"/>
      <c r="D17" s="68" t="s">
        <v>24</v>
      </c>
      <c r="E17" s="77" t="s">
        <v>65</v>
      </c>
      <c r="F17" s="26"/>
      <c r="G17" s="78" t="s">
        <v>66</v>
      </c>
      <c r="H17" s="24"/>
      <c r="I17" s="72"/>
      <c r="J17" s="79" t="s">
        <v>57</v>
      </c>
      <c r="K17" s="74"/>
      <c r="L17" s="80"/>
      <c r="M17" s="100" t="s">
        <v>58</v>
      </c>
      <c r="N17" s="2"/>
      <c r="O17" s="2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68" t="s">
        <v>20</v>
      </c>
      <c r="B18" s="68" t="s">
        <v>67</v>
      </c>
      <c r="C18" s="24"/>
      <c r="D18" s="68" t="s">
        <v>48</v>
      </c>
      <c r="E18" s="77" t="s">
        <v>68</v>
      </c>
      <c r="F18" s="26"/>
      <c r="G18" s="78" t="s">
        <v>69</v>
      </c>
      <c r="H18" s="24"/>
      <c r="I18" s="83">
        <v>1700.0</v>
      </c>
      <c r="J18" s="73"/>
      <c r="K18" s="74"/>
      <c r="L18" s="80"/>
      <c r="M18" s="100">
        <v>1700.0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68" t="s">
        <v>20</v>
      </c>
      <c r="B19" s="23"/>
      <c r="C19" s="24"/>
      <c r="D19" s="68" t="s">
        <v>21</v>
      </c>
      <c r="E19" s="70" t="s">
        <v>70</v>
      </c>
      <c r="F19" s="26"/>
      <c r="G19" s="78" t="s">
        <v>71</v>
      </c>
      <c r="H19" s="24"/>
      <c r="I19" s="72"/>
      <c r="J19" s="73"/>
      <c r="K19" s="99">
        <v>100.0</v>
      </c>
      <c r="L19" s="80"/>
      <c r="M19" s="84">
        <v>100.0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3"/>
      <c r="B20" s="23"/>
      <c r="C20" s="24"/>
      <c r="D20" s="23"/>
      <c r="E20" s="26"/>
      <c r="F20" s="26"/>
      <c r="G20" s="26"/>
      <c r="H20" s="24"/>
      <c r="I20" s="72"/>
      <c r="J20" s="73"/>
      <c r="K20" s="74"/>
      <c r="L20" s="80"/>
      <c r="M20" s="3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3"/>
      <c r="B21" s="23"/>
      <c r="C21" s="24"/>
      <c r="D21" s="23"/>
      <c r="E21" s="26"/>
      <c r="F21" s="26"/>
      <c r="G21" s="26"/>
      <c r="H21" s="24"/>
      <c r="I21" s="72"/>
      <c r="J21" s="73"/>
      <c r="K21" s="74"/>
      <c r="L21" s="80"/>
      <c r="M21" s="3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3"/>
      <c r="B22" s="23"/>
      <c r="C22" s="24"/>
      <c r="D22" s="23"/>
      <c r="E22" s="26"/>
      <c r="F22" s="26"/>
      <c r="G22" s="26"/>
      <c r="H22" s="24"/>
      <c r="I22" s="72"/>
      <c r="J22" s="73"/>
      <c r="K22" s="74"/>
      <c r="L22" s="80"/>
      <c r="M22" s="3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3"/>
      <c r="B23" s="23"/>
      <c r="C23" s="24"/>
      <c r="D23" s="23"/>
      <c r="E23" s="26"/>
      <c r="F23" s="26"/>
      <c r="G23" s="26"/>
      <c r="H23" s="24"/>
      <c r="I23" s="72"/>
      <c r="J23" s="73"/>
      <c r="K23" s="74"/>
      <c r="L23" s="80"/>
      <c r="M23" s="3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3"/>
      <c r="B24" s="23"/>
      <c r="C24" s="24"/>
      <c r="D24" s="23"/>
      <c r="E24" s="26"/>
      <c r="F24" s="26"/>
      <c r="G24" s="26"/>
      <c r="H24" s="24"/>
      <c r="I24" s="87"/>
      <c r="J24" s="88"/>
      <c r="K24" s="89"/>
      <c r="L24" s="90"/>
      <c r="M24" s="3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3"/>
      <c r="B25" s="23"/>
      <c r="C25" s="24"/>
      <c r="D25" s="23"/>
      <c r="E25" s="26"/>
      <c r="F25" s="26"/>
      <c r="G25" s="26"/>
      <c r="H25" s="24"/>
      <c r="I25" s="87"/>
      <c r="J25" s="88"/>
      <c r="K25" s="89"/>
      <c r="L25" s="90"/>
      <c r="M25" s="3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3"/>
      <c r="B26" s="23"/>
      <c r="C26" s="24"/>
      <c r="D26" s="23"/>
      <c r="E26" s="26"/>
      <c r="F26" s="26"/>
      <c r="G26" s="26"/>
      <c r="H26" s="24"/>
      <c r="I26" s="87"/>
      <c r="J26" s="88"/>
      <c r="K26" s="89"/>
      <c r="L26" s="90"/>
      <c r="M26" s="3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3"/>
      <c r="B27" s="23"/>
      <c r="C27" s="24"/>
      <c r="D27" s="23"/>
      <c r="E27" s="26"/>
      <c r="F27" s="26"/>
      <c r="G27" s="26"/>
      <c r="H27" s="24"/>
      <c r="I27" s="87"/>
      <c r="J27" s="88"/>
      <c r="K27" s="89"/>
      <c r="L27" s="90"/>
      <c r="M27" s="3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3"/>
      <c r="B28" s="23"/>
      <c r="C28" s="24"/>
      <c r="D28" s="23"/>
      <c r="E28" s="26"/>
      <c r="F28" s="26"/>
      <c r="G28" s="26"/>
      <c r="H28" s="24"/>
      <c r="I28" s="87"/>
      <c r="J28" s="88"/>
      <c r="K28" s="89"/>
      <c r="L28" s="90"/>
      <c r="M28" s="35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3"/>
      <c r="B29" s="23"/>
      <c r="C29" s="24"/>
      <c r="D29" s="23"/>
      <c r="E29" s="26"/>
      <c r="F29" s="26"/>
      <c r="G29" s="26"/>
      <c r="H29" s="24"/>
      <c r="I29" s="87"/>
      <c r="J29" s="88"/>
      <c r="K29" s="89"/>
      <c r="L29" s="90"/>
      <c r="M29" s="3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3"/>
      <c r="B30" s="23"/>
      <c r="C30" s="24"/>
      <c r="D30" s="23"/>
      <c r="E30" s="26"/>
      <c r="F30" s="26"/>
      <c r="G30" s="26"/>
      <c r="H30" s="24"/>
      <c r="I30" s="87"/>
      <c r="J30" s="88"/>
      <c r="K30" s="89"/>
      <c r="L30" s="90"/>
      <c r="M30" s="3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3"/>
      <c r="B31" s="23"/>
      <c r="C31" s="24"/>
      <c r="D31" s="23"/>
      <c r="E31" s="26"/>
      <c r="F31" s="26"/>
      <c r="G31" s="26"/>
      <c r="H31" s="24"/>
      <c r="I31" s="87"/>
      <c r="J31" s="88"/>
      <c r="K31" s="89"/>
      <c r="L31" s="90"/>
      <c r="M31" s="3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3"/>
      <c r="B32" s="23"/>
      <c r="C32" s="24"/>
      <c r="D32" s="23"/>
      <c r="E32" s="26"/>
      <c r="F32" s="26"/>
      <c r="G32" s="26"/>
      <c r="H32" s="24"/>
      <c r="I32" s="87"/>
      <c r="J32" s="88"/>
      <c r="K32" s="89"/>
      <c r="L32" s="90"/>
      <c r="M32" s="3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3"/>
      <c r="B33" s="23"/>
      <c r="C33" s="24"/>
      <c r="D33" s="23"/>
      <c r="E33" s="26"/>
      <c r="F33" s="26"/>
      <c r="G33" s="26"/>
      <c r="H33" s="24"/>
      <c r="I33" s="87"/>
      <c r="J33" s="88"/>
      <c r="K33" s="89"/>
      <c r="L33" s="90"/>
      <c r="M33" s="3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3"/>
      <c r="B34" s="23"/>
      <c r="C34" s="24"/>
      <c r="D34" s="23"/>
      <c r="E34" s="26"/>
      <c r="F34" s="26"/>
      <c r="G34" s="26"/>
      <c r="H34" s="24"/>
      <c r="I34" s="87"/>
      <c r="J34" s="88"/>
      <c r="K34" s="89"/>
      <c r="L34" s="90"/>
      <c r="M34" s="3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3"/>
      <c r="B35" s="23"/>
      <c r="C35" s="24"/>
      <c r="D35" s="23"/>
      <c r="E35" s="26"/>
      <c r="F35" s="26"/>
      <c r="G35" s="26"/>
      <c r="H35" s="24"/>
      <c r="I35" s="87"/>
      <c r="J35" s="88"/>
      <c r="K35" s="89"/>
      <c r="L35" s="90"/>
      <c r="M35" s="3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3"/>
      <c r="B36" s="23"/>
      <c r="C36" s="24"/>
      <c r="D36" s="23"/>
      <c r="E36" s="26"/>
      <c r="F36" s="26"/>
      <c r="G36" s="26"/>
      <c r="H36" s="24"/>
      <c r="I36" s="87"/>
      <c r="J36" s="73"/>
      <c r="K36" s="74"/>
      <c r="L36" s="80"/>
      <c r="M36" s="4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3"/>
      <c r="B37" s="23"/>
      <c r="C37" s="24"/>
      <c r="D37" s="23"/>
      <c r="E37" s="26"/>
      <c r="F37" s="26"/>
      <c r="G37" s="26"/>
      <c r="H37" s="24"/>
      <c r="I37" s="87"/>
      <c r="J37" s="73"/>
      <c r="K37" s="74"/>
      <c r="L37" s="80"/>
      <c r="M37" s="4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3"/>
      <c r="B38" s="23"/>
      <c r="C38" s="24"/>
      <c r="D38" s="23"/>
      <c r="E38" s="26"/>
      <c r="F38" s="26"/>
      <c r="G38" s="26"/>
      <c r="H38" s="24"/>
      <c r="I38" s="87"/>
      <c r="J38" s="73"/>
      <c r="K38" s="74"/>
      <c r="L38" s="80"/>
      <c r="M38" s="4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3"/>
      <c r="B39" s="23"/>
      <c r="C39" s="24"/>
      <c r="D39" s="23"/>
      <c r="E39" s="26"/>
      <c r="F39" s="26"/>
      <c r="G39" s="26"/>
      <c r="H39" s="24"/>
      <c r="I39" s="87"/>
      <c r="J39" s="73"/>
      <c r="K39" s="74"/>
      <c r="L39" s="80"/>
      <c r="M39" s="4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3"/>
      <c r="B40" s="23"/>
      <c r="C40" s="24"/>
      <c r="D40" s="23"/>
      <c r="E40" s="26"/>
      <c r="F40" s="26"/>
      <c r="G40" s="26"/>
      <c r="H40" s="24"/>
      <c r="I40" s="87"/>
      <c r="J40" s="73"/>
      <c r="K40" s="74"/>
      <c r="L40" s="80"/>
      <c r="M40" s="4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3"/>
      <c r="B41" s="23"/>
      <c r="C41" s="24"/>
      <c r="D41" s="23"/>
      <c r="E41" s="26"/>
      <c r="F41" s="26"/>
      <c r="G41" s="26"/>
      <c r="H41" s="24"/>
      <c r="I41" s="87"/>
      <c r="J41" s="73"/>
      <c r="K41" s="74"/>
      <c r="L41" s="80"/>
      <c r="M41" s="4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3"/>
      <c r="B42" s="23"/>
      <c r="C42" s="24"/>
      <c r="D42" s="23"/>
      <c r="E42" s="35"/>
      <c r="F42" s="35"/>
      <c r="G42" s="35"/>
      <c r="H42" s="24"/>
      <c r="I42" s="87"/>
      <c r="J42" s="73"/>
      <c r="K42" s="74"/>
      <c r="L42" s="80"/>
      <c r="M42" s="4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3"/>
      <c r="B43" s="23"/>
      <c r="C43" s="24"/>
      <c r="D43" s="23"/>
      <c r="E43" s="26"/>
      <c r="F43" s="26"/>
      <c r="G43" s="26"/>
      <c r="H43" s="24"/>
      <c r="I43" s="87"/>
      <c r="J43" s="73"/>
      <c r="K43" s="74"/>
      <c r="L43" s="80"/>
      <c r="M43" s="4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3"/>
      <c r="B44" s="23"/>
      <c r="C44" s="24"/>
      <c r="D44" s="23"/>
      <c r="E44" s="26"/>
      <c r="F44" s="26"/>
      <c r="G44" s="26"/>
      <c r="H44" s="24"/>
      <c r="I44" s="87"/>
      <c r="J44" s="73"/>
      <c r="K44" s="74"/>
      <c r="L44" s="80"/>
      <c r="M44" s="4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3"/>
      <c r="B45" s="23"/>
      <c r="C45" s="24"/>
      <c r="D45" s="23"/>
      <c r="E45" s="26"/>
      <c r="F45" s="26"/>
      <c r="G45" s="26"/>
      <c r="H45" s="24"/>
      <c r="I45" s="87"/>
      <c r="J45" s="73"/>
      <c r="K45" s="74"/>
      <c r="L45" s="80"/>
      <c r="M45" s="4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3"/>
      <c r="B46" s="23"/>
      <c r="C46" s="24"/>
      <c r="D46" s="23"/>
      <c r="E46" s="26"/>
      <c r="F46" s="26"/>
      <c r="G46" s="26"/>
      <c r="H46" s="24"/>
      <c r="I46" s="72"/>
      <c r="J46" s="73"/>
      <c r="K46" s="74"/>
      <c r="L46" s="80"/>
      <c r="M46" s="4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3"/>
      <c r="B47" s="23"/>
      <c r="C47" s="24"/>
      <c r="D47" s="23"/>
      <c r="E47" s="26"/>
      <c r="F47" s="26"/>
      <c r="G47" s="26"/>
      <c r="H47" s="24"/>
      <c r="I47" s="72"/>
      <c r="J47" s="73"/>
      <c r="K47" s="74"/>
      <c r="L47" s="80"/>
      <c r="M47" s="4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3"/>
      <c r="B48" s="23"/>
      <c r="C48" s="24"/>
      <c r="D48" s="23"/>
      <c r="E48" s="26"/>
      <c r="F48" s="26"/>
      <c r="G48" s="26"/>
      <c r="H48" s="24"/>
      <c r="I48" s="72"/>
      <c r="J48" s="73"/>
      <c r="K48" s="74"/>
      <c r="L48" s="80"/>
      <c r="M48" s="4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3"/>
      <c r="B49" s="23"/>
      <c r="C49" s="24"/>
      <c r="D49" s="23"/>
      <c r="E49" s="26"/>
      <c r="F49" s="26"/>
      <c r="G49" s="26"/>
      <c r="H49" s="24"/>
      <c r="I49" s="72"/>
      <c r="J49" s="73"/>
      <c r="K49" s="74"/>
      <c r="L49" s="80"/>
      <c r="M49" s="4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3"/>
      <c r="B50" s="23"/>
      <c r="C50" s="24"/>
      <c r="D50" s="23"/>
      <c r="E50" s="26"/>
      <c r="F50" s="26"/>
      <c r="G50" s="26"/>
      <c r="H50" s="24"/>
      <c r="I50" s="87"/>
      <c r="J50" s="73"/>
      <c r="K50" s="74"/>
      <c r="L50" s="80"/>
      <c r="M50" s="4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3"/>
      <c r="B51" s="23"/>
      <c r="C51" s="24"/>
      <c r="D51" s="23"/>
      <c r="E51" s="26"/>
      <c r="F51" s="26"/>
      <c r="G51" s="26"/>
      <c r="H51" s="24"/>
      <c r="I51" s="87"/>
      <c r="J51" s="73"/>
      <c r="K51" s="74"/>
      <c r="L51" s="80"/>
      <c r="M51" s="4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3"/>
      <c r="B52" s="23"/>
      <c r="C52" s="24"/>
      <c r="D52" s="23"/>
      <c r="E52" s="26"/>
      <c r="F52" s="26"/>
      <c r="G52" s="26"/>
      <c r="H52" s="24"/>
      <c r="I52" s="87"/>
      <c r="J52" s="73"/>
      <c r="K52" s="74"/>
      <c r="L52" s="80"/>
      <c r="M52" s="4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3"/>
      <c r="B53" s="23"/>
      <c r="C53" s="24"/>
      <c r="D53" s="23"/>
      <c r="E53" s="26"/>
      <c r="F53" s="26"/>
      <c r="G53" s="26"/>
      <c r="H53" s="24"/>
      <c r="I53" s="87"/>
      <c r="J53" s="73"/>
      <c r="K53" s="74"/>
      <c r="L53" s="80"/>
      <c r="M53" s="4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3"/>
      <c r="B54" s="23"/>
      <c r="C54" s="24"/>
      <c r="D54" s="23"/>
      <c r="E54" s="26"/>
      <c r="F54" s="26"/>
      <c r="G54" s="26"/>
      <c r="H54" s="24"/>
      <c r="I54" s="87"/>
      <c r="J54" s="73"/>
      <c r="K54" s="74"/>
      <c r="L54" s="80"/>
      <c r="M54" s="4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3"/>
      <c r="B55" s="23"/>
      <c r="C55" s="24"/>
      <c r="D55" s="23"/>
      <c r="E55" s="26"/>
      <c r="F55" s="26"/>
      <c r="G55" s="26"/>
      <c r="H55" s="24"/>
      <c r="I55" s="87"/>
      <c r="J55" s="73"/>
      <c r="K55" s="74"/>
      <c r="L55" s="80"/>
      <c r="M55" s="4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3"/>
      <c r="B56" s="23"/>
      <c r="C56" s="24"/>
      <c r="D56" s="23"/>
      <c r="E56" s="26"/>
      <c r="F56" s="26"/>
      <c r="G56" s="26"/>
      <c r="H56" s="24"/>
      <c r="I56" s="87"/>
      <c r="J56" s="73"/>
      <c r="K56" s="74"/>
      <c r="L56" s="80"/>
      <c r="M56" s="4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3"/>
      <c r="B57" s="23"/>
      <c r="C57" s="24"/>
      <c r="D57" s="23"/>
      <c r="E57" s="26"/>
      <c r="F57" s="26"/>
      <c r="G57" s="26"/>
      <c r="H57" s="24"/>
      <c r="I57" s="87"/>
      <c r="J57" s="88"/>
      <c r="K57" s="89"/>
      <c r="L57" s="90"/>
      <c r="M57" s="35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3"/>
      <c r="B58" s="23"/>
      <c r="C58" s="24"/>
      <c r="D58" s="23"/>
      <c r="E58" s="26"/>
      <c r="F58" s="26"/>
      <c r="G58" s="26"/>
      <c r="H58" s="24"/>
      <c r="I58" s="87"/>
      <c r="J58" s="73"/>
      <c r="K58" s="74"/>
      <c r="L58" s="80"/>
      <c r="M58" s="4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3"/>
      <c r="B59" s="23"/>
      <c r="C59" s="24"/>
      <c r="D59" s="23"/>
      <c r="E59" s="26"/>
      <c r="F59" s="26"/>
      <c r="G59" s="26"/>
      <c r="H59" s="24"/>
      <c r="I59" s="87"/>
      <c r="J59" s="73"/>
      <c r="K59" s="74"/>
      <c r="L59" s="80"/>
      <c r="M59" s="4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3"/>
      <c r="B60" s="23"/>
      <c r="C60" s="24"/>
      <c r="D60" s="23"/>
      <c r="E60" s="26"/>
      <c r="F60" s="26"/>
      <c r="G60" s="26"/>
      <c r="H60" s="24"/>
      <c r="I60" s="87"/>
      <c r="J60" s="73"/>
      <c r="K60" s="74"/>
      <c r="L60" s="80"/>
      <c r="M60" s="4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3"/>
      <c r="B61" s="23"/>
      <c r="C61" s="24"/>
      <c r="D61" s="23"/>
      <c r="E61" s="26"/>
      <c r="F61" s="26"/>
      <c r="G61" s="26"/>
      <c r="H61" s="24"/>
      <c r="I61" s="87"/>
      <c r="J61" s="73"/>
      <c r="K61" s="74"/>
      <c r="L61" s="80"/>
      <c r="M61" s="4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3"/>
      <c r="B62" s="23"/>
      <c r="C62" s="24"/>
      <c r="D62" s="23"/>
      <c r="E62" s="26"/>
      <c r="F62" s="26"/>
      <c r="G62" s="26"/>
      <c r="H62" s="24"/>
      <c r="I62" s="87"/>
      <c r="J62" s="73"/>
      <c r="K62" s="74"/>
      <c r="L62" s="80"/>
      <c r="M62" s="4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3"/>
      <c r="B63" s="23"/>
      <c r="C63" s="24"/>
      <c r="D63" s="23"/>
      <c r="E63" s="26"/>
      <c r="F63" s="26"/>
      <c r="G63" s="26"/>
      <c r="H63" s="24"/>
      <c r="I63" s="87"/>
      <c r="J63" s="73"/>
      <c r="K63" s="74"/>
      <c r="L63" s="80"/>
      <c r="M63" s="4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3"/>
      <c r="B64" s="23"/>
      <c r="C64" s="24"/>
      <c r="D64" s="23"/>
      <c r="E64" s="26"/>
      <c r="F64" s="26"/>
      <c r="G64" s="26"/>
      <c r="H64" s="24"/>
      <c r="I64" s="87"/>
      <c r="J64" s="73"/>
      <c r="K64" s="74"/>
      <c r="L64" s="80"/>
      <c r="M64" s="4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3"/>
      <c r="B65" s="23"/>
      <c r="C65" s="24"/>
      <c r="D65" s="23"/>
      <c r="E65" s="26"/>
      <c r="F65" s="26"/>
      <c r="G65" s="26"/>
      <c r="H65" s="24"/>
      <c r="I65" s="87"/>
      <c r="J65" s="73"/>
      <c r="K65" s="74"/>
      <c r="L65" s="80"/>
      <c r="M65" s="4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3"/>
      <c r="B66" s="23"/>
      <c r="C66" s="24"/>
      <c r="D66" s="23"/>
      <c r="E66" s="26"/>
      <c r="F66" s="26"/>
      <c r="G66" s="26"/>
      <c r="H66" s="24"/>
      <c r="I66" s="87"/>
      <c r="J66" s="73"/>
      <c r="K66" s="74"/>
      <c r="L66" s="80"/>
      <c r="M66" s="4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3"/>
      <c r="B67" s="23"/>
      <c r="C67" s="24"/>
      <c r="D67" s="23"/>
      <c r="E67" s="26"/>
      <c r="F67" s="26"/>
      <c r="G67" s="26"/>
      <c r="H67" s="24"/>
      <c r="I67" s="87"/>
      <c r="J67" s="73"/>
      <c r="K67" s="74"/>
      <c r="L67" s="80"/>
      <c r="M67" s="4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3"/>
      <c r="B68" s="23"/>
      <c r="C68" s="24"/>
      <c r="D68" s="23"/>
      <c r="E68" s="26"/>
      <c r="F68" s="26"/>
      <c r="G68" s="26"/>
      <c r="H68" s="24"/>
      <c r="I68" s="87"/>
      <c r="J68" s="73"/>
      <c r="K68" s="74"/>
      <c r="L68" s="80"/>
      <c r="M68" s="4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3"/>
      <c r="B69" s="23"/>
      <c r="C69" s="24"/>
      <c r="D69" s="23"/>
      <c r="E69" s="26"/>
      <c r="F69" s="26"/>
      <c r="G69" s="26"/>
      <c r="H69" s="24"/>
      <c r="I69" s="87"/>
      <c r="J69" s="73"/>
      <c r="K69" s="74"/>
      <c r="L69" s="80"/>
      <c r="M69" s="4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3"/>
      <c r="B70" s="23"/>
      <c r="C70" s="24"/>
      <c r="D70" s="23"/>
      <c r="E70" s="26"/>
      <c r="F70" s="26"/>
      <c r="G70" s="26"/>
      <c r="H70" s="24"/>
      <c r="I70" s="87"/>
      <c r="J70" s="73"/>
      <c r="K70" s="74"/>
      <c r="L70" s="80"/>
      <c r="M70" s="4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3"/>
      <c r="B71" s="23"/>
      <c r="C71" s="24"/>
      <c r="D71" s="23"/>
      <c r="E71" s="26"/>
      <c r="F71" s="26"/>
      <c r="G71" s="26"/>
      <c r="H71" s="24"/>
      <c r="I71" s="87"/>
      <c r="J71" s="73"/>
      <c r="K71" s="74"/>
      <c r="L71" s="80"/>
      <c r="M71" s="4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3"/>
      <c r="B72" s="23"/>
      <c r="C72" s="24"/>
      <c r="D72" s="23"/>
      <c r="E72" s="26"/>
      <c r="F72" s="26"/>
      <c r="G72" s="26"/>
      <c r="H72" s="24"/>
      <c r="I72" s="87"/>
      <c r="J72" s="73"/>
      <c r="K72" s="74"/>
      <c r="L72" s="80"/>
      <c r="M72" s="4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3"/>
      <c r="B73" s="23"/>
      <c r="C73" s="24"/>
      <c r="D73" s="23"/>
      <c r="E73" s="26"/>
      <c r="F73" s="26"/>
      <c r="G73" s="26"/>
      <c r="H73" s="24"/>
      <c r="I73" s="87"/>
      <c r="J73" s="88"/>
      <c r="K73" s="89"/>
      <c r="L73" s="90"/>
      <c r="M73" s="35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3"/>
      <c r="B74" s="23"/>
      <c r="C74" s="24"/>
      <c r="D74" s="23"/>
      <c r="E74" s="26"/>
      <c r="F74" s="26"/>
      <c r="G74" s="26"/>
      <c r="H74" s="24"/>
      <c r="I74" s="87"/>
      <c r="J74" s="73"/>
      <c r="K74" s="74"/>
      <c r="L74" s="80"/>
      <c r="M74" s="4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3"/>
      <c r="B75" s="23"/>
      <c r="C75" s="24"/>
      <c r="D75" s="23"/>
      <c r="E75" s="26"/>
      <c r="F75" s="26"/>
      <c r="G75" s="26"/>
      <c r="H75" s="24"/>
      <c r="I75" s="87"/>
      <c r="J75" s="73"/>
      <c r="K75" s="74"/>
      <c r="L75" s="80"/>
      <c r="M75" s="4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3"/>
      <c r="B76" s="23"/>
      <c r="C76" s="24"/>
      <c r="D76" s="23"/>
      <c r="E76" s="26"/>
      <c r="F76" s="26"/>
      <c r="G76" s="26"/>
      <c r="H76" s="24"/>
      <c r="I76" s="87"/>
      <c r="J76" s="73"/>
      <c r="K76" s="74"/>
      <c r="L76" s="80"/>
      <c r="M76" s="4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3"/>
      <c r="B77" s="23"/>
      <c r="C77" s="24"/>
      <c r="D77" s="23"/>
      <c r="E77" s="26"/>
      <c r="F77" s="26"/>
      <c r="G77" s="26"/>
      <c r="H77" s="24"/>
      <c r="I77" s="87"/>
      <c r="J77" s="73"/>
      <c r="K77" s="74"/>
      <c r="L77" s="80"/>
      <c r="M77" s="4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3"/>
      <c r="B78" s="23"/>
      <c r="C78" s="24"/>
      <c r="D78" s="23"/>
      <c r="E78" s="26"/>
      <c r="F78" s="26"/>
      <c r="G78" s="26"/>
      <c r="H78" s="24"/>
      <c r="I78" s="87"/>
      <c r="J78" s="73"/>
      <c r="K78" s="74"/>
      <c r="L78" s="80"/>
      <c r="M78" s="4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3"/>
      <c r="B79" s="23"/>
      <c r="C79" s="24"/>
      <c r="D79" s="23"/>
      <c r="E79" s="26"/>
      <c r="F79" s="26"/>
      <c r="G79" s="26"/>
      <c r="H79" s="24"/>
      <c r="I79" s="87"/>
      <c r="J79" s="73"/>
      <c r="K79" s="74"/>
      <c r="L79" s="80"/>
      <c r="M79" s="4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3"/>
      <c r="B80" s="23"/>
      <c r="C80" s="24"/>
      <c r="D80" s="23"/>
      <c r="E80" s="26"/>
      <c r="F80" s="26"/>
      <c r="G80" s="26"/>
      <c r="H80" s="24"/>
      <c r="I80" s="87"/>
      <c r="J80" s="88"/>
      <c r="K80" s="89"/>
      <c r="L80" s="90"/>
      <c r="M80" s="35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3"/>
      <c r="B81" s="23"/>
      <c r="C81" s="24"/>
      <c r="D81" s="23"/>
      <c r="E81" s="26"/>
      <c r="F81" s="26"/>
      <c r="G81" s="26"/>
      <c r="H81" s="24"/>
      <c r="I81" s="87"/>
      <c r="J81" s="73"/>
      <c r="K81" s="74"/>
      <c r="L81" s="80"/>
      <c r="M81" s="4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3"/>
      <c r="B82" s="23"/>
      <c r="C82" s="24"/>
      <c r="D82" s="23"/>
      <c r="E82" s="26"/>
      <c r="F82" s="26"/>
      <c r="G82" s="26"/>
      <c r="H82" s="24"/>
      <c r="I82" s="87"/>
      <c r="J82" s="73"/>
      <c r="K82" s="74"/>
      <c r="L82" s="80"/>
      <c r="M82" s="4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3"/>
      <c r="B83" s="23"/>
      <c r="C83" s="24"/>
      <c r="D83" s="23"/>
      <c r="E83" s="26"/>
      <c r="F83" s="26"/>
      <c r="G83" s="26"/>
      <c r="H83" s="24"/>
      <c r="I83" s="87"/>
      <c r="J83" s="88"/>
      <c r="K83" s="89"/>
      <c r="L83" s="90"/>
      <c r="M83" s="35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3"/>
      <c r="B84" s="23"/>
      <c r="C84" s="24"/>
      <c r="D84" s="23"/>
      <c r="E84" s="26"/>
      <c r="F84" s="26"/>
      <c r="G84" s="26"/>
      <c r="H84" s="24"/>
      <c r="I84" s="87"/>
      <c r="J84" s="88"/>
      <c r="K84" s="89"/>
      <c r="L84" s="90"/>
      <c r="M84" s="35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3"/>
      <c r="B85" s="23"/>
      <c r="C85" s="24"/>
      <c r="D85" s="23"/>
      <c r="E85" s="26"/>
      <c r="F85" s="26"/>
      <c r="G85" s="26"/>
      <c r="H85" s="24"/>
      <c r="I85" s="87"/>
      <c r="J85" s="88"/>
      <c r="K85" s="89"/>
      <c r="L85" s="90"/>
      <c r="M85" s="35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3"/>
      <c r="B86" s="23"/>
      <c r="C86" s="24"/>
      <c r="D86" s="23"/>
      <c r="E86" s="26"/>
      <c r="F86" s="26"/>
      <c r="G86" s="26"/>
      <c r="H86" s="24"/>
      <c r="I86" s="87"/>
      <c r="J86" s="88"/>
      <c r="K86" s="89"/>
      <c r="L86" s="90"/>
      <c r="M86" s="35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3"/>
      <c r="B87" s="23"/>
      <c r="C87" s="24"/>
      <c r="D87" s="23"/>
      <c r="E87" s="26"/>
      <c r="F87" s="26"/>
      <c r="G87" s="26"/>
      <c r="H87" s="24"/>
      <c r="I87" s="87"/>
      <c r="J87" s="88"/>
      <c r="K87" s="89"/>
      <c r="L87" s="90"/>
      <c r="M87" s="35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3"/>
      <c r="B88" s="23"/>
      <c r="C88" s="24"/>
      <c r="D88" s="23"/>
      <c r="E88" s="26"/>
      <c r="F88" s="26"/>
      <c r="G88" s="26"/>
      <c r="H88" s="24"/>
      <c r="I88" s="87"/>
      <c r="J88" s="88"/>
      <c r="K88" s="89"/>
      <c r="L88" s="90"/>
      <c r="M88" s="35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3"/>
      <c r="B89" s="23"/>
      <c r="C89" s="24"/>
      <c r="D89" s="23"/>
      <c r="E89" s="26"/>
      <c r="F89" s="26"/>
      <c r="G89" s="26"/>
      <c r="H89" s="24"/>
      <c r="I89" s="87"/>
      <c r="J89" s="88"/>
      <c r="K89" s="89"/>
      <c r="L89" s="90"/>
      <c r="M89" s="35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3"/>
      <c r="B90" s="23"/>
      <c r="C90" s="24"/>
      <c r="D90" s="23"/>
      <c r="E90" s="26"/>
      <c r="F90" s="26"/>
      <c r="G90" s="26"/>
      <c r="H90" s="24"/>
      <c r="I90" s="87"/>
      <c r="J90" s="88"/>
      <c r="K90" s="89"/>
      <c r="L90" s="90"/>
      <c r="M90" s="35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3"/>
      <c r="B91" s="23"/>
      <c r="C91" s="24"/>
      <c r="D91" s="23"/>
      <c r="E91" s="26"/>
      <c r="F91" s="26"/>
      <c r="G91" s="26"/>
      <c r="H91" s="24"/>
      <c r="I91" s="87"/>
      <c r="J91" s="88"/>
      <c r="K91" s="89"/>
      <c r="L91" s="90"/>
      <c r="M91" s="35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3"/>
      <c r="B92" s="23"/>
      <c r="C92" s="24"/>
      <c r="D92" s="23"/>
      <c r="E92" s="26"/>
      <c r="F92" s="26"/>
      <c r="G92" s="26"/>
      <c r="H92" s="24"/>
      <c r="I92" s="87"/>
      <c r="J92" s="88"/>
      <c r="K92" s="89"/>
      <c r="L92" s="90"/>
      <c r="M92" s="35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3"/>
      <c r="B93" s="23"/>
      <c r="C93" s="24"/>
      <c r="D93" s="23"/>
      <c r="E93" s="26"/>
      <c r="F93" s="26"/>
      <c r="G93" s="26"/>
      <c r="H93" s="24"/>
      <c r="I93" s="87"/>
      <c r="J93" s="88"/>
      <c r="K93" s="89"/>
      <c r="L93" s="90"/>
      <c r="M93" s="35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3"/>
      <c r="B94" s="23"/>
      <c r="C94" s="24"/>
      <c r="D94" s="23"/>
      <c r="E94" s="26"/>
      <c r="F94" s="26"/>
      <c r="G94" s="26"/>
      <c r="H94" s="24"/>
      <c r="I94" s="87"/>
      <c r="J94" s="88"/>
      <c r="K94" s="89"/>
      <c r="L94" s="90"/>
      <c r="M94" s="35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3"/>
      <c r="B95" s="23"/>
      <c r="C95" s="24"/>
      <c r="D95" s="23"/>
      <c r="E95" s="26"/>
      <c r="F95" s="26"/>
      <c r="G95" s="26"/>
      <c r="H95" s="24"/>
      <c r="I95" s="87"/>
      <c r="J95" s="88"/>
      <c r="K95" s="89"/>
      <c r="L95" s="90"/>
      <c r="M95" s="35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2"/>
      <c r="B96" s="1"/>
      <c r="C96" s="43"/>
      <c r="D96" s="44"/>
      <c r="E96" s="45"/>
      <c r="F96" s="2"/>
      <c r="G96" s="2"/>
      <c r="H96" s="2"/>
      <c r="I96" s="91"/>
      <c r="J96" s="92"/>
      <c r="K96" s="89"/>
      <c r="L96" s="90"/>
      <c r="M96" s="35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/>
      <c r="B97" s="1"/>
      <c r="C97" s="48"/>
      <c r="D97" s="49"/>
      <c r="E97" s="50"/>
      <c r="F97" s="2"/>
      <c r="G97" s="2"/>
      <c r="H97" s="2"/>
      <c r="I97" s="91"/>
      <c r="J97" s="91"/>
      <c r="K97" s="91"/>
      <c r="L97" s="91"/>
      <c r="M97" s="51">
        <f>SUM(M7:M96)</f>
        <v>3500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/>
      <c r="B98" s="52"/>
      <c r="C98" s="43"/>
      <c r="D98" s="2"/>
      <c r="E98" s="2"/>
      <c r="F98" s="2"/>
      <c r="G98" s="2"/>
      <c r="H98" s="2"/>
      <c r="I98" s="91"/>
      <c r="J98" s="91"/>
      <c r="K98" s="91"/>
      <c r="L98" s="9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43"/>
      <c r="D99" s="2"/>
      <c r="E99" s="2"/>
      <c r="F99" s="2"/>
      <c r="G99" s="2"/>
      <c r="H99" s="2"/>
      <c r="I99" s="93"/>
      <c r="J99" s="91"/>
      <c r="K99" s="91"/>
      <c r="L99" s="9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2"/>
      <c r="D100" s="2"/>
      <c r="E100" s="2"/>
      <c r="F100" s="2"/>
      <c r="G100" s="2"/>
      <c r="H100" s="2"/>
      <c r="I100" s="91"/>
      <c r="J100" s="93"/>
      <c r="K100" s="93"/>
      <c r="L100" s="93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2"/>
      <c r="D101" s="2"/>
      <c r="E101" s="2"/>
      <c r="F101" s="2"/>
      <c r="G101" s="2"/>
      <c r="H101" s="2"/>
      <c r="I101" s="91"/>
      <c r="J101" s="91"/>
      <c r="K101" s="91"/>
      <c r="L101" s="9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2"/>
      <c r="D102" s="2"/>
      <c r="E102" s="2"/>
      <c r="F102" s="2"/>
      <c r="G102" s="2"/>
      <c r="H102" s="2"/>
      <c r="I102" s="91"/>
      <c r="J102" s="91"/>
      <c r="K102" s="91"/>
      <c r="L102" s="9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2"/>
      <c r="D103" s="2"/>
      <c r="E103" s="2"/>
      <c r="F103" s="2"/>
      <c r="G103" s="2"/>
      <c r="H103" s="2"/>
      <c r="I103" s="91"/>
      <c r="J103" s="91"/>
      <c r="K103" s="91"/>
      <c r="L103" s="9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2"/>
      <c r="D104" s="2"/>
      <c r="E104" s="2"/>
      <c r="F104" s="2"/>
      <c r="G104" s="2"/>
      <c r="H104" s="2"/>
      <c r="I104" s="91"/>
      <c r="J104" s="91"/>
      <c r="K104" s="91"/>
      <c r="L104" s="9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2"/>
      <c r="D105" s="2"/>
      <c r="E105" s="2"/>
      <c r="F105" s="2"/>
      <c r="G105" s="2"/>
      <c r="H105" s="2"/>
      <c r="I105" s="17" t="s">
        <v>11</v>
      </c>
      <c r="J105" s="91"/>
      <c r="K105" s="91"/>
      <c r="L105" s="9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2"/>
      <c r="D106" s="2"/>
      <c r="E106" s="2"/>
      <c r="F106" s="2"/>
      <c r="G106" s="2"/>
      <c r="H106" s="2"/>
      <c r="I106" s="54">
        <f>SUM(I7:I96)</f>
        <v>2600</v>
      </c>
      <c r="J106" s="55" t="s">
        <v>12</v>
      </c>
      <c r="K106" s="94"/>
      <c r="L106" s="95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2"/>
      <c r="D107" s="2"/>
      <c r="E107" s="2"/>
      <c r="F107" s="2"/>
      <c r="G107" s="2"/>
      <c r="H107" s="2"/>
      <c r="I107" s="58">
        <f>SUM(I106*2%)</f>
        <v>52</v>
      </c>
      <c r="J107" s="59">
        <f>SUM(J7:J96)</f>
        <v>800</v>
      </c>
      <c r="K107" s="103" t="s">
        <v>72</v>
      </c>
      <c r="L107" s="95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54">
        <f>SUM(J107*2%)</f>
        <v>16</v>
      </c>
      <c r="K108" s="54">
        <f>SUM(K7:K96)</f>
        <v>250</v>
      </c>
      <c r="L108" s="62" t="s">
        <v>14</v>
      </c>
      <c r="M108" s="3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63"/>
      <c r="K109" s="58">
        <f>SUM(K108*2%)</f>
        <v>5</v>
      </c>
      <c r="L109" s="64">
        <f>SUM(L8:L97)</f>
        <v>0</v>
      </c>
      <c r="M109" s="65" t="s">
        <v>19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58">
        <f>SUM(L109*2%)</f>
        <v>0</v>
      </c>
      <c r="M110" s="66">
        <f>SUM(M97)</f>
        <v>3500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4">
    <mergeCell ref="A2:O2"/>
    <mergeCell ref="A3:O3"/>
    <mergeCell ref="A4:O5"/>
    <mergeCell ref="N8:O8"/>
  </mergeCells>
  <dataValidations>
    <dataValidation type="list" allowBlank="1" showErrorMessage="1" sqref="H7 H9:H10 C7:C95 H12:H95">
      <formula1>"Fernanda,ana julia ,Miria,Leticia"</formula1>
    </dataValidation>
    <dataValidation type="list" allowBlank="1" showErrorMessage="1" sqref="H8">
      <formula1>"Vinicius,Kaua,Caio,Julia,Jhonatas,Diogo,Caio Ferreira,Pamelah,Caio Alves,Camila,Wiliam ,Gabriel ,Fernanda,Kaua Pessoni,Gabriel Batista,Gustavo Pereira,Demetrio ,Caio Vinicius,Wesley,Miriã"</formula1>
    </dataValidation>
    <dataValidation type="list" allowBlank="1" showErrorMessage="1" sqref="A7:A95">
      <formula1>"Pix,Cartão,Pacote ,Pago "</formula1>
    </dataValidation>
    <dataValidation type="list" allowBlank="1" showErrorMessage="1" sqref="D7:D95">
      <formula1>"White board,Cartoon ,3D ,3D personalizado,3D Premium,VSL,Logo,Post,Influencer Pamela,Influencer João B.,3D Estatico ,3D Realista,Edição audio,Pov,Flow,Personalização,Explainer,Mascote"</formula1>
    </dataValidation>
    <dataValidation type="list" allowBlank="1" showErrorMessage="1" sqref="H11">
      <formula1>"Vinicius,Kaua,Caio,Julia,Jhonatas,Diogo,Caio Ferreira,Pamelah,Caio Alves,Camila,Wiliam ,Gabriel ,Fernanda,Kaua Pessoni,Gabriel Batista,Gustavo Pereira,Demetrio ,Caio Vinicius,Wesley,MIRIÃ"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4" max="4" width="18.25"/>
    <col customWidth="1" min="5" max="5" width="32.63"/>
    <col customWidth="1" min="6" max="6" width="15.63"/>
  </cols>
  <sheetData>
    <row r="1">
      <c r="A1" s="1"/>
      <c r="B1" s="1"/>
      <c r="C1" s="2"/>
      <c r="D1" s="2"/>
      <c r="E1" s="104"/>
      <c r="F1" s="2"/>
      <c r="G1" s="2"/>
      <c r="H1" s="2"/>
      <c r="I1" s="67"/>
      <c r="J1" s="67"/>
      <c r="K1" s="67"/>
      <c r="L1" s="67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7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4" t="s">
        <v>3</v>
      </c>
      <c r="B6" s="15" t="s">
        <v>4</v>
      </c>
      <c r="C6" s="15" t="s">
        <v>5</v>
      </c>
      <c r="D6" s="15" t="s">
        <v>6</v>
      </c>
      <c r="E6" s="15" t="s">
        <v>7</v>
      </c>
      <c r="F6" s="16" t="s">
        <v>8</v>
      </c>
      <c r="G6" s="14" t="s">
        <v>9</v>
      </c>
      <c r="H6" s="14" t="s">
        <v>10</v>
      </c>
      <c r="I6" s="17" t="s">
        <v>11</v>
      </c>
      <c r="J6" s="18" t="s">
        <v>12</v>
      </c>
      <c r="K6" s="19" t="s">
        <v>13</v>
      </c>
      <c r="L6" s="20" t="s">
        <v>14</v>
      </c>
      <c r="M6" s="21" t="s">
        <v>15</v>
      </c>
      <c r="N6" s="2"/>
      <c r="O6" s="2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68" t="s">
        <v>20</v>
      </c>
      <c r="B7" s="23"/>
      <c r="C7" s="24"/>
      <c r="D7" s="68" t="s">
        <v>40</v>
      </c>
      <c r="E7" s="70" t="s">
        <v>73</v>
      </c>
      <c r="F7" s="25"/>
      <c r="G7" s="78" t="s">
        <v>74</v>
      </c>
      <c r="H7" s="24"/>
      <c r="I7" s="72"/>
      <c r="J7" s="79">
        <v>100.0</v>
      </c>
      <c r="K7" s="74"/>
      <c r="L7" s="80"/>
      <c r="M7" s="84">
        <v>100.0</v>
      </c>
      <c r="N7" s="2"/>
      <c r="O7" s="22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68" t="s">
        <v>20</v>
      </c>
      <c r="B8" s="23"/>
      <c r="C8" s="82" t="s">
        <v>75</v>
      </c>
      <c r="D8" s="68" t="s">
        <v>24</v>
      </c>
      <c r="E8" s="70" t="s">
        <v>76</v>
      </c>
      <c r="F8" s="26"/>
      <c r="G8" s="71" t="s">
        <v>77</v>
      </c>
      <c r="H8" s="82"/>
      <c r="I8" s="72"/>
      <c r="J8" s="73"/>
      <c r="K8" s="74"/>
      <c r="L8" s="75">
        <v>250.0</v>
      </c>
      <c r="M8" s="100">
        <v>100.0</v>
      </c>
      <c r="N8" s="33" t="s">
        <v>16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3"/>
      <c r="B9" s="68">
        <v>579.0</v>
      </c>
      <c r="C9" s="24"/>
      <c r="D9" s="23"/>
      <c r="E9" s="105" t="s">
        <v>78</v>
      </c>
      <c r="F9" s="26"/>
      <c r="G9" s="106">
        <v>4.791038701E9</v>
      </c>
      <c r="H9" s="24"/>
      <c r="I9" s="72"/>
      <c r="J9" s="73"/>
      <c r="K9" s="74"/>
      <c r="L9" s="75">
        <v>1990.0</v>
      </c>
      <c r="M9" s="84">
        <v>1990.0</v>
      </c>
      <c r="N9" s="17" t="s">
        <v>11</v>
      </c>
      <c r="O9" s="34">
        <f>SUM(I6:I95)</f>
        <v>2240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8" t="s">
        <v>20</v>
      </c>
      <c r="B10" s="23"/>
      <c r="C10" s="24"/>
      <c r="D10" s="68" t="s">
        <v>48</v>
      </c>
      <c r="E10" s="70" t="s">
        <v>79</v>
      </c>
      <c r="F10" s="26"/>
      <c r="G10" s="78" t="s">
        <v>80</v>
      </c>
      <c r="H10" s="24"/>
      <c r="I10" s="72"/>
      <c r="J10" s="73"/>
      <c r="K10" s="99">
        <v>50.0</v>
      </c>
      <c r="L10" s="80"/>
      <c r="M10" s="84">
        <v>50.0</v>
      </c>
      <c r="N10" s="18" t="s">
        <v>12</v>
      </c>
      <c r="O10" s="34">
        <f>SUM(J7:J95)</f>
        <v>600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68" t="s">
        <v>20</v>
      </c>
      <c r="B11" s="23"/>
      <c r="C11" s="82" t="s">
        <v>36</v>
      </c>
      <c r="D11" s="68" t="s">
        <v>40</v>
      </c>
      <c r="E11" s="107" t="s">
        <v>81</v>
      </c>
      <c r="F11" s="26"/>
      <c r="G11" s="78" t="s">
        <v>82</v>
      </c>
      <c r="H11" s="82" t="s">
        <v>39</v>
      </c>
      <c r="I11" s="83">
        <v>250.0</v>
      </c>
      <c r="J11" s="73"/>
      <c r="K11" s="74"/>
      <c r="L11" s="80"/>
      <c r="M11" s="84">
        <v>250.0</v>
      </c>
      <c r="N11" s="19" t="s">
        <v>13</v>
      </c>
      <c r="O11" s="34">
        <f>SUM(K7:K96)</f>
        <v>450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3"/>
      <c r="B12" s="23"/>
      <c r="C12" s="24"/>
      <c r="D12" s="68" t="s">
        <v>48</v>
      </c>
      <c r="E12" s="108" t="s">
        <v>83</v>
      </c>
      <c r="F12" s="26"/>
      <c r="G12" s="106">
        <v>3.191988211E9</v>
      </c>
      <c r="H12" s="24"/>
      <c r="I12" s="72"/>
      <c r="J12" s="73"/>
      <c r="K12" s="74"/>
      <c r="L12" s="75">
        <v>60.0</v>
      </c>
      <c r="M12" s="84">
        <v>60.0</v>
      </c>
      <c r="N12" s="20" t="s">
        <v>14</v>
      </c>
      <c r="O12" s="34">
        <f>SUM(L7:L96)</f>
        <v>3500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3"/>
      <c r="B13" s="68">
        <v>610.0</v>
      </c>
      <c r="C13" s="24"/>
      <c r="D13" s="68" t="s">
        <v>24</v>
      </c>
      <c r="E13" s="70" t="s">
        <v>84</v>
      </c>
      <c r="F13" s="26"/>
      <c r="G13" s="109" t="s">
        <v>85</v>
      </c>
      <c r="H13" s="24"/>
      <c r="I13" s="72"/>
      <c r="J13" s="73"/>
      <c r="K13" s="74"/>
      <c r="L13" s="75">
        <v>250.0</v>
      </c>
      <c r="M13" s="84">
        <v>250.0</v>
      </c>
      <c r="N13" s="36" t="s">
        <v>17</v>
      </c>
      <c r="O13" s="37">
        <f>SUM(N8:O12)</f>
        <v>6790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68" t="s">
        <v>35</v>
      </c>
      <c r="B14" s="68" t="s">
        <v>86</v>
      </c>
      <c r="C14" s="24"/>
      <c r="D14" s="68" t="s">
        <v>24</v>
      </c>
      <c r="E14" s="110" t="s">
        <v>87</v>
      </c>
      <c r="F14" s="26"/>
      <c r="G14" s="78" t="s">
        <v>88</v>
      </c>
      <c r="H14" s="24"/>
      <c r="I14" s="83">
        <v>1990.0</v>
      </c>
      <c r="J14" s="73"/>
      <c r="K14" s="74"/>
      <c r="L14" s="80"/>
      <c r="M14" s="84">
        <v>1990.0</v>
      </c>
      <c r="N14" s="2"/>
      <c r="O14" s="2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68" t="s">
        <v>20</v>
      </c>
      <c r="B15" s="23"/>
      <c r="C15" s="24"/>
      <c r="D15" s="68" t="s">
        <v>21</v>
      </c>
      <c r="E15" s="70" t="s">
        <v>89</v>
      </c>
      <c r="F15" s="26"/>
      <c r="G15" s="111" t="s">
        <v>90</v>
      </c>
      <c r="H15" s="24"/>
      <c r="I15" s="72"/>
      <c r="J15" s="73"/>
      <c r="K15" s="74"/>
      <c r="L15" s="75">
        <v>500.0</v>
      </c>
      <c r="M15" s="84">
        <v>500.0</v>
      </c>
      <c r="N15" s="2"/>
      <c r="O15" s="2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68" t="s">
        <v>20</v>
      </c>
      <c r="B16" s="23"/>
      <c r="C16" s="24"/>
      <c r="D16" s="68" t="s">
        <v>24</v>
      </c>
      <c r="E16" s="70" t="s">
        <v>91</v>
      </c>
      <c r="F16" s="26"/>
      <c r="G16" s="78" t="s">
        <v>92</v>
      </c>
      <c r="H16" s="24"/>
      <c r="I16" s="72"/>
      <c r="J16" s="73"/>
      <c r="K16" s="99">
        <v>50.0</v>
      </c>
      <c r="L16" s="80"/>
      <c r="M16" s="84">
        <v>50.0</v>
      </c>
      <c r="N16" s="2"/>
      <c r="O16" s="2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68" t="s">
        <v>51</v>
      </c>
      <c r="B17" s="23"/>
      <c r="C17" s="82" t="s">
        <v>93</v>
      </c>
      <c r="D17" s="68" t="s">
        <v>94</v>
      </c>
      <c r="E17" s="70" t="s">
        <v>95</v>
      </c>
      <c r="F17" s="26"/>
      <c r="G17" s="78" t="s">
        <v>96</v>
      </c>
      <c r="H17" s="24"/>
      <c r="I17" s="72"/>
      <c r="J17" s="79" t="s">
        <v>57</v>
      </c>
      <c r="K17" s="74"/>
      <c r="L17" s="80"/>
      <c r="M17" s="100" t="s">
        <v>58</v>
      </c>
      <c r="N17" s="2"/>
      <c r="O17" s="2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68" t="s">
        <v>20</v>
      </c>
      <c r="B18" s="23"/>
      <c r="C18" s="24"/>
      <c r="D18" s="23"/>
      <c r="E18" s="109" t="s">
        <v>97</v>
      </c>
      <c r="F18" s="26"/>
      <c r="G18" s="78" t="s">
        <v>98</v>
      </c>
      <c r="H18" s="24"/>
      <c r="I18" s="72"/>
      <c r="J18" s="73"/>
      <c r="K18" s="99">
        <v>350.0</v>
      </c>
      <c r="L18" s="80"/>
      <c r="M18" s="76">
        <v>350.0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68" t="s">
        <v>51</v>
      </c>
      <c r="B19" s="23"/>
      <c r="C19" s="82" t="s">
        <v>36</v>
      </c>
      <c r="D19" s="68" t="s">
        <v>24</v>
      </c>
      <c r="E19" s="70" t="s">
        <v>99</v>
      </c>
      <c r="F19" s="26"/>
      <c r="G19" s="78" t="s">
        <v>100</v>
      </c>
      <c r="H19" s="82" t="s">
        <v>75</v>
      </c>
      <c r="I19" s="72"/>
      <c r="J19" s="79" t="s">
        <v>57</v>
      </c>
      <c r="K19" s="74"/>
      <c r="L19" s="80"/>
      <c r="M19" s="100" t="s">
        <v>58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68" t="s">
        <v>51</v>
      </c>
      <c r="B20" s="23"/>
      <c r="C20" s="82" t="s">
        <v>36</v>
      </c>
      <c r="D20" s="68" t="s">
        <v>24</v>
      </c>
      <c r="E20" s="70" t="s">
        <v>101</v>
      </c>
      <c r="F20" s="26"/>
      <c r="G20" s="78" t="s">
        <v>100</v>
      </c>
      <c r="H20" s="82" t="s">
        <v>13</v>
      </c>
      <c r="I20" s="72"/>
      <c r="J20" s="79" t="s">
        <v>57</v>
      </c>
      <c r="K20" s="74"/>
      <c r="L20" s="80"/>
      <c r="M20" s="100" t="s">
        <v>58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68" t="s">
        <v>51</v>
      </c>
      <c r="B21" s="23"/>
      <c r="C21" s="82" t="s">
        <v>93</v>
      </c>
      <c r="D21" s="68" t="s">
        <v>24</v>
      </c>
      <c r="E21" s="70" t="s">
        <v>102</v>
      </c>
      <c r="F21" s="26"/>
      <c r="G21" s="78" t="s">
        <v>100</v>
      </c>
      <c r="H21" s="24"/>
      <c r="I21" s="72"/>
      <c r="J21" s="79" t="s">
        <v>57</v>
      </c>
      <c r="K21" s="74"/>
      <c r="L21" s="80"/>
      <c r="M21" s="100" t="s">
        <v>58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68" t="s">
        <v>20</v>
      </c>
      <c r="B22" s="68" t="s">
        <v>103</v>
      </c>
      <c r="C22" s="24"/>
      <c r="D22" s="68" t="s">
        <v>104</v>
      </c>
      <c r="E22" s="70" t="s">
        <v>105</v>
      </c>
      <c r="F22" s="26"/>
      <c r="G22" s="78" t="s">
        <v>106</v>
      </c>
      <c r="H22" s="24"/>
      <c r="I22" s="72"/>
      <c r="J22" s="73"/>
      <c r="K22" s="74"/>
      <c r="L22" s="75">
        <v>450.0</v>
      </c>
      <c r="M22" s="84">
        <v>450.0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68" t="s">
        <v>20</v>
      </c>
      <c r="B23" s="23"/>
      <c r="C23" s="24"/>
      <c r="D23" s="23"/>
      <c r="E23" s="110" t="s">
        <v>107</v>
      </c>
      <c r="F23" s="26"/>
      <c r="G23" s="78">
        <v>3.171341898E9</v>
      </c>
      <c r="H23" s="24"/>
      <c r="I23" s="72"/>
      <c r="J23" s="79">
        <v>500.0</v>
      </c>
      <c r="K23" s="74"/>
      <c r="L23" s="80"/>
      <c r="M23" s="84">
        <v>500.0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3"/>
      <c r="B24" s="23"/>
      <c r="C24" s="24"/>
      <c r="D24" s="23"/>
      <c r="E24" s="112"/>
      <c r="F24" s="26"/>
      <c r="G24" s="26"/>
      <c r="H24" s="24"/>
      <c r="I24" s="87"/>
      <c r="J24" s="88"/>
      <c r="K24" s="89"/>
      <c r="L24" s="90"/>
      <c r="M24" s="3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3"/>
      <c r="B25" s="23"/>
      <c r="C25" s="24"/>
      <c r="D25" s="23"/>
      <c r="E25" s="112"/>
      <c r="F25" s="26"/>
      <c r="G25" s="26"/>
      <c r="H25" s="24"/>
      <c r="I25" s="87"/>
      <c r="J25" s="88"/>
      <c r="K25" s="89"/>
      <c r="L25" s="90"/>
      <c r="M25" s="3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3"/>
      <c r="B26" s="23"/>
      <c r="C26" s="24"/>
      <c r="D26" s="23"/>
      <c r="E26" s="112"/>
      <c r="F26" s="26"/>
      <c r="G26" s="26"/>
      <c r="H26" s="24"/>
      <c r="I26" s="87"/>
      <c r="J26" s="88"/>
      <c r="K26" s="89"/>
      <c r="L26" s="90"/>
      <c r="M26" s="3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3"/>
      <c r="B27" s="23"/>
      <c r="C27" s="24"/>
      <c r="D27" s="23"/>
      <c r="E27" s="112"/>
      <c r="F27" s="26"/>
      <c r="G27" s="26"/>
      <c r="H27" s="24"/>
      <c r="I27" s="87"/>
      <c r="J27" s="88"/>
      <c r="K27" s="89"/>
      <c r="L27" s="90"/>
      <c r="M27" s="3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3"/>
      <c r="B28" s="23"/>
      <c r="C28" s="24"/>
      <c r="D28" s="23"/>
      <c r="E28" s="112"/>
      <c r="F28" s="26"/>
      <c r="G28" s="26"/>
      <c r="H28" s="24"/>
      <c r="I28" s="87"/>
      <c r="J28" s="88"/>
      <c r="K28" s="89"/>
      <c r="L28" s="90"/>
      <c r="M28" s="35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3"/>
      <c r="B29" s="23"/>
      <c r="C29" s="24"/>
      <c r="D29" s="23"/>
      <c r="E29" s="112"/>
      <c r="F29" s="26"/>
      <c r="G29" s="26"/>
      <c r="H29" s="24"/>
      <c r="I29" s="87"/>
      <c r="J29" s="88"/>
      <c r="K29" s="89"/>
      <c r="L29" s="90"/>
      <c r="M29" s="3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3"/>
      <c r="B30" s="23"/>
      <c r="C30" s="24"/>
      <c r="D30" s="23"/>
      <c r="E30" s="112"/>
      <c r="F30" s="26"/>
      <c r="G30" s="26"/>
      <c r="H30" s="24"/>
      <c r="I30" s="87"/>
      <c r="J30" s="88"/>
      <c r="K30" s="89"/>
      <c r="L30" s="90"/>
      <c r="M30" s="3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3"/>
      <c r="B31" s="23"/>
      <c r="C31" s="24"/>
      <c r="D31" s="23"/>
      <c r="E31" s="112"/>
      <c r="F31" s="26"/>
      <c r="G31" s="26"/>
      <c r="H31" s="24"/>
      <c r="I31" s="87"/>
      <c r="J31" s="88"/>
      <c r="K31" s="89"/>
      <c r="L31" s="90"/>
      <c r="M31" s="3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3"/>
      <c r="B32" s="23"/>
      <c r="C32" s="24"/>
      <c r="D32" s="23"/>
      <c r="E32" s="112"/>
      <c r="F32" s="26"/>
      <c r="G32" s="26"/>
      <c r="H32" s="24"/>
      <c r="I32" s="87"/>
      <c r="J32" s="88"/>
      <c r="K32" s="89"/>
      <c r="L32" s="90"/>
      <c r="M32" s="3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3"/>
      <c r="B33" s="23"/>
      <c r="C33" s="24"/>
      <c r="D33" s="23"/>
      <c r="E33" s="112"/>
      <c r="F33" s="26"/>
      <c r="G33" s="26"/>
      <c r="H33" s="24"/>
      <c r="I33" s="87"/>
      <c r="J33" s="88"/>
      <c r="K33" s="89"/>
      <c r="L33" s="90"/>
      <c r="M33" s="3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3"/>
      <c r="B34" s="23"/>
      <c r="C34" s="24"/>
      <c r="D34" s="23"/>
      <c r="E34" s="112"/>
      <c r="F34" s="26"/>
      <c r="G34" s="26"/>
      <c r="H34" s="24"/>
      <c r="I34" s="87"/>
      <c r="J34" s="88"/>
      <c r="K34" s="89"/>
      <c r="L34" s="90"/>
      <c r="M34" s="3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3"/>
      <c r="B35" s="23"/>
      <c r="C35" s="24"/>
      <c r="D35" s="23"/>
      <c r="E35" s="112"/>
      <c r="F35" s="26"/>
      <c r="G35" s="26"/>
      <c r="H35" s="24"/>
      <c r="I35" s="87"/>
      <c r="J35" s="88"/>
      <c r="K35" s="89"/>
      <c r="L35" s="90"/>
      <c r="M35" s="3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3"/>
      <c r="B36" s="23"/>
      <c r="C36" s="24"/>
      <c r="D36" s="23"/>
      <c r="E36" s="112"/>
      <c r="F36" s="26"/>
      <c r="G36" s="26"/>
      <c r="H36" s="24"/>
      <c r="I36" s="87"/>
      <c r="J36" s="73"/>
      <c r="K36" s="74"/>
      <c r="L36" s="80"/>
      <c r="M36" s="4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3"/>
      <c r="B37" s="23"/>
      <c r="C37" s="24"/>
      <c r="D37" s="23"/>
      <c r="E37" s="112"/>
      <c r="F37" s="26"/>
      <c r="G37" s="26"/>
      <c r="H37" s="24"/>
      <c r="I37" s="87"/>
      <c r="J37" s="73"/>
      <c r="K37" s="74"/>
      <c r="L37" s="80"/>
      <c r="M37" s="4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3"/>
      <c r="B38" s="23"/>
      <c r="C38" s="24"/>
      <c r="D38" s="23"/>
      <c r="E38" s="112"/>
      <c r="F38" s="26"/>
      <c r="G38" s="26"/>
      <c r="H38" s="24"/>
      <c r="I38" s="87"/>
      <c r="J38" s="73"/>
      <c r="K38" s="74"/>
      <c r="L38" s="80"/>
      <c r="M38" s="4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3"/>
      <c r="B39" s="23"/>
      <c r="C39" s="24"/>
      <c r="D39" s="23"/>
      <c r="E39" s="112"/>
      <c r="F39" s="26"/>
      <c r="G39" s="26"/>
      <c r="H39" s="24"/>
      <c r="I39" s="87"/>
      <c r="J39" s="73"/>
      <c r="K39" s="74"/>
      <c r="L39" s="80"/>
      <c r="M39" s="4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3"/>
      <c r="B40" s="23"/>
      <c r="C40" s="24"/>
      <c r="D40" s="23"/>
      <c r="E40" s="112"/>
      <c r="F40" s="26"/>
      <c r="G40" s="26"/>
      <c r="H40" s="24"/>
      <c r="I40" s="87"/>
      <c r="J40" s="73"/>
      <c r="K40" s="74"/>
      <c r="L40" s="80"/>
      <c r="M40" s="4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3"/>
      <c r="B41" s="23"/>
      <c r="C41" s="24"/>
      <c r="D41" s="23"/>
      <c r="E41" s="112"/>
      <c r="F41" s="26"/>
      <c r="G41" s="26"/>
      <c r="H41" s="24"/>
      <c r="I41" s="87"/>
      <c r="J41" s="73"/>
      <c r="K41" s="74"/>
      <c r="L41" s="80"/>
      <c r="M41" s="4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3"/>
      <c r="B42" s="23"/>
      <c r="C42" s="24"/>
      <c r="D42" s="23"/>
      <c r="E42" s="113"/>
      <c r="F42" s="35"/>
      <c r="G42" s="35"/>
      <c r="H42" s="24"/>
      <c r="I42" s="87"/>
      <c r="J42" s="73"/>
      <c r="K42" s="74"/>
      <c r="L42" s="80"/>
      <c r="M42" s="4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3"/>
      <c r="B43" s="23"/>
      <c r="C43" s="24"/>
      <c r="D43" s="23"/>
      <c r="E43" s="112"/>
      <c r="F43" s="26"/>
      <c r="G43" s="26"/>
      <c r="H43" s="24"/>
      <c r="I43" s="87"/>
      <c r="J43" s="73"/>
      <c r="K43" s="74"/>
      <c r="L43" s="80"/>
      <c r="M43" s="4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3"/>
      <c r="B44" s="23"/>
      <c r="C44" s="24"/>
      <c r="D44" s="23"/>
      <c r="E44" s="112"/>
      <c r="F44" s="26"/>
      <c r="G44" s="26"/>
      <c r="H44" s="24"/>
      <c r="I44" s="87"/>
      <c r="J44" s="73"/>
      <c r="K44" s="74"/>
      <c r="L44" s="80"/>
      <c r="M44" s="4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3"/>
      <c r="B45" s="23"/>
      <c r="C45" s="24"/>
      <c r="D45" s="23"/>
      <c r="E45" s="112"/>
      <c r="F45" s="26"/>
      <c r="G45" s="26"/>
      <c r="H45" s="24"/>
      <c r="I45" s="87"/>
      <c r="J45" s="73"/>
      <c r="K45" s="74"/>
      <c r="L45" s="80"/>
      <c r="M45" s="4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3"/>
      <c r="B46" s="23"/>
      <c r="C46" s="24"/>
      <c r="D46" s="23"/>
      <c r="E46" s="112"/>
      <c r="F46" s="26"/>
      <c r="G46" s="26"/>
      <c r="H46" s="24"/>
      <c r="I46" s="72"/>
      <c r="J46" s="73"/>
      <c r="K46" s="74"/>
      <c r="L46" s="80"/>
      <c r="M46" s="4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3"/>
      <c r="B47" s="23"/>
      <c r="C47" s="24"/>
      <c r="D47" s="23"/>
      <c r="E47" s="112"/>
      <c r="F47" s="26"/>
      <c r="G47" s="26"/>
      <c r="H47" s="24"/>
      <c r="I47" s="72"/>
      <c r="J47" s="73"/>
      <c r="K47" s="74"/>
      <c r="L47" s="80"/>
      <c r="M47" s="4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3"/>
      <c r="B48" s="23"/>
      <c r="C48" s="24"/>
      <c r="D48" s="23"/>
      <c r="E48" s="112"/>
      <c r="F48" s="26"/>
      <c r="G48" s="26"/>
      <c r="H48" s="24"/>
      <c r="I48" s="72"/>
      <c r="J48" s="73"/>
      <c r="K48" s="74"/>
      <c r="L48" s="80"/>
      <c r="M48" s="4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3"/>
      <c r="B49" s="23"/>
      <c r="C49" s="24"/>
      <c r="D49" s="23"/>
      <c r="E49" s="112"/>
      <c r="F49" s="26"/>
      <c r="G49" s="26"/>
      <c r="H49" s="24"/>
      <c r="I49" s="72"/>
      <c r="J49" s="73"/>
      <c r="K49" s="74"/>
      <c r="L49" s="80"/>
      <c r="M49" s="4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3"/>
      <c r="B50" s="23"/>
      <c r="C50" s="24"/>
      <c r="D50" s="23"/>
      <c r="E50" s="112"/>
      <c r="F50" s="26"/>
      <c r="G50" s="26"/>
      <c r="H50" s="24"/>
      <c r="I50" s="87"/>
      <c r="J50" s="73"/>
      <c r="K50" s="74"/>
      <c r="L50" s="80"/>
      <c r="M50" s="4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3"/>
      <c r="B51" s="23"/>
      <c r="C51" s="24"/>
      <c r="D51" s="23"/>
      <c r="E51" s="112"/>
      <c r="F51" s="26"/>
      <c r="G51" s="26"/>
      <c r="H51" s="24"/>
      <c r="I51" s="87"/>
      <c r="J51" s="73"/>
      <c r="K51" s="74"/>
      <c r="L51" s="80"/>
      <c r="M51" s="4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3"/>
      <c r="B52" s="23"/>
      <c r="C52" s="24"/>
      <c r="D52" s="23"/>
      <c r="E52" s="112"/>
      <c r="F52" s="26"/>
      <c r="G52" s="26"/>
      <c r="H52" s="24"/>
      <c r="I52" s="87"/>
      <c r="J52" s="73"/>
      <c r="K52" s="74"/>
      <c r="L52" s="80"/>
      <c r="M52" s="4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3"/>
      <c r="B53" s="23"/>
      <c r="C53" s="24"/>
      <c r="D53" s="23"/>
      <c r="E53" s="112"/>
      <c r="F53" s="26"/>
      <c r="G53" s="26"/>
      <c r="H53" s="24"/>
      <c r="I53" s="87"/>
      <c r="J53" s="73"/>
      <c r="K53" s="74"/>
      <c r="L53" s="80"/>
      <c r="M53" s="4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3"/>
      <c r="B54" s="23"/>
      <c r="C54" s="24"/>
      <c r="D54" s="23"/>
      <c r="E54" s="112"/>
      <c r="F54" s="26"/>
      <c r="G54" s="26"/>
      <c r="H54" s="24"/>
      <c r="I54" s="87"/>
      <c r="J54" s="73"/>
      <c r="K54" s="74"/>
      <c r="L54" s="80"/>
      <c r="M54" s="4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3"/>
      <c r="B55" s="23"/>
      <c r="C55" s="24"/>
      <c r="D55" s="23"/>
      <c r="E55" s="112"/>
      <c r="F55" s="26"/>
      <c r="G55" s="26"/>
      <c r="H55" s="24"/>
      <c r="I55" s="87"/>
      <c r="J55" s="73"/>
      <c r="K55" s="74"/>
      <c r="L55" s="80"/>
      <c r="M55" s="4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3"/>
      <c r="B56" s="23"/>
      <c r="C56" s="24"/>
      <c r="D56" s="23"/>
      <c r="E56" s="112"/>
      <c r="F56" s="26"/>
      <c r="G56" s="26"/>
      <c r="H56" s="24"/>
      <c r="I56" s="87"/>
      <c r="J56" s="73"/>
      <c r="K56" s="74"/>
      <c r="L56" s="80"/>
      <c r="M56" s="4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3"/>
      <c r="B57" s="23"/>
      <c r="C57" s="24"/>
      <c r="D57" s="23"/>
      <c r="E57" s="112"/>
      <c r="F57" s="26"/>
      <c r="G57" s="26"/>
      <c r="H57" s="24"/>
      <c r="I57" s="87"/>
      <c r="J57" s="88"/>
      <c r="K57" s="89"/>
      <c r="L57" s="90"/>
      <c r="M57" s="35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3"/>
      <c r="B58" s="23"/>
      <c r="C58" s="24"/>
      <c r="D58" s="23"/>
      <c r="E58" s="112"/>
      <c r="F58" s="26"/>
      <c r="G58" s="26"/>
      <c r="H58" s="24"/>
      <c r="I58" s="87"/>
      <c r="J58" s="73"/>
      <c r="K58" s="74"/>
      <c r="L58" s="80"/>
      <c r="M58" s="4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3"/>
      <c r="B59" s="23"/>
      <c r="C59" s="24"/>
      <c r="D59" s="23"/>
      <c r="E59" s="112"/>
      <c r="F59" s="26"/>
      <c r="G59" s="26"/>
      <c r="H59" s="24"/>
      <c r="I59" s="87"/>
      <c r="J59" s="73"/>
      <c r="K59" s="74"/>
      <c r="L59" s="80"/>
      <c r="M59" s="4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3"/>
      <c r="B60" s="23"/>
      <c r="C60" s="24"/>
      <c r="D60" s="23"/>
      <c r="E60" s="112"/>
      <c r="F60" s="26"/>
      <c r="G60" s="26"/>
      <c r="H60" s="24"/>
      <c r="I60" s="87"/>
      <c r="J60" s="73"/>
      <c r="K60" s="74"/>
      <c r="L60" s="80"/>
      <c r="M60" s="4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3"/>
      <c r="B61" s="23"/>
      <c r="C61" s="24"/>
      <c r="D61" s="23"/>
      <c r="E61" s="112"/>
      <c r="F61" s="26"/>
      <c r="G61" s="26"/>
      <c r="H61" s="24"/>
      <c r="I61" s="87"/>
      <c r="J61" s="73"/>
      <c r="K61" s="74"/>
      <c r="L61" s="80"/>
      <c r="M61" s="4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3"/>
      <c r="B62" s="23"/>
      <c r="C62" s="24"/>
      <c r="D62" s="23"/>
      <c r="E62" s="112"/>
      <c r="F62" s="26"/>
      <c r="G62" s="26"/>
      <c r="H62" s="24"/>
      <c r="I62" s="87"/>
      <c r="J62" s="73"/>
      <c r="K62" s="74"/>
      <c r="L62" s="80"/>
      <c r="M62" s="4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3"/>
      <c r="B63" s="23"/>
      <c r="C63" s="24"/>
      <c r="D63" s="23"/>
      <c r="E63" s="112"/>
      <c r="F63" s="26"/>
      <c r="G63" s="26"/>
      <c r="H63" s="24"/>
      <c r="I63" s="87"/>
      <c r="J63" s="73"/>
      <c r="K63" s="74"/>
      <c r="L63" s="80"/>
      <c r="M63" s="4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3"/>
      <c r="B64" s="23"/>
      <c r="C64" s="24"/>
      <c r="D64" s="23"/>
      <c r="E64" s="112"/>
      <c r="F64" s="26"/>
      <c r="G64" s="26"/>
      <c r="H64" s="24"/>
      <c r="I64" s="87"/>
      <c r="J64" s="73"/>
      <c r="K64" s="74"/>
      <c r="L64" s="80"/>
      <c r="M64" s="4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3"/>
      <c r="B65" s="23"/>
      <c r="C65" s="24"/>
      <c r="D65" s="23"/>
      <c r="E65" s="112"/>
      <c r="F65" s="26"/>
      <c r="G65" s="26"/>
      <c r="H65" s="24"/>
      <c r="I65" s="87"/>
      <c r="J65" s="73"/>
      <c r="K65" s="74"/>
      <c r="L65" s="80"/>
      <c r="M65" s="4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3"/>
      <c r="B66" s="23"/>
      <c r="C66" s="24"/>
      <c r="D66" s="23"/>
      <c r="E66" s="112"/>
      <c r="F66" s="26"/>
      <c r="G66" s="26"/>
      <c r="H66" s="24"/>
      <c r="I66" s="87"/>
      <c r="J66" s="73"/>
      <c r="K66" s="74"/>
      <c r="L66" s="80"/>
      <c r="M66" s="4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3"/>
      <c r="B67" s="23"/>
      <c r="C67" s="24"/>
      <c r="D67" s="23"/>
      <c r="E67" s="112"/>
      <c r="F67" s="26"/>
      <c r="G67" s="26"/>
      <c r="H67" s="24"/>
      <c r="I67" s="87"/>
      <c r="J67" s="73"/>
      <c r="K67" s="74"/>
      <c r="L67" s="80"/>
      <c r="M67" s="4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3"/>
      <c r="B68" s="23"/>
      <c r="C68" s="24"/>
      <c r="D68" s="23"/>
      <c r="E68" s="112"/>
      <c r="F68" s="26"/>
      <c r="G68" s="26"/>
      <c r="H68" s="24"/>
      <c r="I68" s="87"/>
      <c r="J68" s="73"/>
      <c r="K68" s="74"/>
      <c r="L68" s="80"/>
      <c r="M68" s="4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3"/>
      <c r="B69" s="23"/>
      <c r="C69" s="24"/>
      <c r="D69" s="23"/>
      <c r="E69" s="112"/>
      <c r="F69" s="26"/>
      <c r="G69" s="26"/>
      <c r="H69" s="24"/>
      <c r="I69" s="87"/>
      <c r="J69" s="73"/>
      <c r="K69" s="74"/>
      <c r="L69" s="80"/>
      <c r="M69" s="4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3"/>
      <c r="B70" s="23"/>
      <c r="C70" s="24"/>
      <c r="D70" s="23"/>
      <c r="E70" s="112"/>
      <c r="F70" s="26"/>
      <c r="G70" s="26"/>
      <c r="H70" s="24"/>
      <c r="I70" s="87"/>
      <c r="J70" s="73"/>
      <c r="K70" s="74"/>
      <c r="L70" s="80"/>
      <c r="M70" s="4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3"/>
      <c r="B71" s="23"/>
      <c r="C71" s="24"/>
      <c r="D71" s="23"/>
      <c r="E71" s="112"/>
      <c r="F71" s="26"/>
      <c r="G71" s="26"/>
      <c r="H71" s="24"/>
      <c r="I71" s="87"/>
      <c r="J71" s="73"/>
      <c r="K71" s="74"/>
      <c r="L71" s="80"/>
      <c r="M71" s="4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3"/>
      <c r="B72" s="23"/>
      <c r="C72" s="24"/>
      <c r="D72" s="23"/>
      <c r="E72" s="112"/>
      <c r="F72" s="26"/>
      <c r="G72" s="26"/>
      <c r="H72" s="24"/>
      <c r="I72" s="87"/>
      <c r="J72" s="73"/>
      <c r="K72" s="74"/>
      <c r="L72" s="80"/>
      <c r="M72" s="4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3"/>
      <c r="B73" s="23"/>
      <c r="C73" s="24"/>
      <c r="D73" s="23"/>
      <c r="E73" s="112"/>
      <c r="F73" s="26"/>
      <c r="G73" s="26"/>
      <c r="H73" s="24"/>
      <c r="I73" s="87"/>
      <c r="J73" s="88"/>
      <c r="K73" s="89"/>
      <c r="L73" s="90"/>
      <c r="M73" s="35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3"/>
      <c r="B74" s="23"/>
      <c r="C74" s="24"/>
      <c r="D74" s="23"/>
      <c r="E74" s="112"/>
      <c r="F74" s="26"/>
      <c r="G74" s="26"/>
      <c r="H74" s="24"/>
      <c r="I74" s="87"/>
      <c r="J74" s="73"/>
      <c r="K74" s="74"/>
      <c r="L74" s="80"/>
      <c r="M74" s="4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3"/>
      <c r="B75" s="23"/>
      <c r="C75" s="24"/>
      <c r="D75" s="23"/>
      <c r="E75" s="112"/>
      <c r="F75" s="26"/>
      <c r="G75" s="26"/>
      <c r="H75" s="24"/>
      <c r="I75" s="87"/>
      <c r="J75" s="73"/>
      <c r="K75" s="74"/>
      <c r="L75" s="80"/>
      <c r="M75" s="4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3"/>
      <c r="B76" s="23"/>
      <c r="C76" s="24"/>
      <c r="D76" s="23"/>
      <c r="E76" s="112"/>
      <c r="F76" s="26"/>
      <c r="G76" s="26"/>
      <c r="H76" s="24"/>
      <c r="I76" s="87"/>
      <c r="J76" s="73"/>
      <c r="K76" s="74"/>
      <c r="L76" s="80"/>
      <c r="M76" s="4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3"/>
      <c r="B77" s="23"/>
      <c r="C77" s="24"/>
      <c r="D77" s="23"/>
      <c r="E77" s="112"/>
      <c r="F77" s="26"/>
      <c r="G77" s="26"/>
      <c r="H77" s="24"/>
      <c r="I77" s="87"/>
      <c r="J77" s="73"/>
      <c r="K77" s="74"/>
      <c r="L77" s="80"/>
      <c r="M77" s="4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3"/>
      <c r="B78" s="23"/>
      <c r="C78" s="24"/>
      <c r="D78" s="23"/>
      <c r="E78" s="112"/>
      <c r="F78" s="26"/>
      <c r="G78" s="26"/>
      <c r="H78" s="24"/>
      <c r="I78" s="87"/>
      <c r="J78" s="73"/>
      <c r="K78" s="74"/>
      <c r="L78" s="80"/>
      <c r="M78" s="4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3"/>
      <c r="B79" s="23"/>
      <c r="C79" s="24"/>
      <c r="D79" s="23"/>
      <c r="E79" s="112"/>
      <c r="F79" s="26"/>
      <c r="G79" s="26"/>
      <c r="H79" s="24"/>
      <c r="I79" s="87"/>
      <c r="J79" s="73"/>
      <c r="K79" s="74"/>
      <c r="L79" s="80"/>
      <c r="M79" s="4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3"/>
      <c r="B80" s="23"/>
      <c r="C80" s="24"/>
      <c r="D80" s="23"/>
      <c r="E80" s="112"/>
      <c r="F80" s="26"/>
      <c r="G80" s="26"/>
      <c r="H80" s="24"/>
      <c r="I80" s="87"/>
      <c r="J80" s="88"/>
      <c r="K80" s="89"/>
      <c r="L80" s="90"/>
      <c r="M80" s="35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3"/>
      <c r="B81" s="23"/>
      <c r="C81" s="24"/>
      <c r="D81" s="23"/>
      <c r="E81" s="112"/>
      <c r="F81" s="26"/>
      <c r="G81" s="26"/>
      <c r="H81" s="24"/>
      <c r="I81" s="87"/>
      <c r="J81" s="73"/>
      <c r="K81" s="74"/>
      <c r="L81" s="80"/>
      <c r="M81" s="4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3"/>
      <c r="B82" s="23"/>
      <c r="C82" s="24"/>
      <c r="D82" s="23"/>
      <c r="E82" s="112"/>
      <c r="F82" s="26"/>
      <c r="G82" s="26"/>
      <c r="H82" s="24"/>
      <c r="I82" s="87"/>
      <c r="J82" s="73"/>
      <c r="K82" s="74"/>
      <c r="L82" s="80"/>
      <c r="M82" s="4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3"/>
      <c r="B83" s="23"/>
      <c r="C83" s="24"/>
      <c r="D83" s="23"/>
      <c r="E83" s="112"/>
      <c r="F83" s="26"/>
      <c r="G83" s="26"/>
      <c r="H83" s="24"/>
      <c r="I83" s="87"/>
      <c r="J83" s="88"/>
      <c r="K83" s="89"/>
      <c r="L83" s="90"/>
      <c r="M83" s="35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3"/>
      <c r="B84" s="23"/>
      <c r="C84" s="24"/>
      <c r="D84" s="23"/>
      <c r="E84" s="112"/>
      <c r="F84" s="26"/>
      <c r="G84" s="26"/>
      <c r="H84" s="24"/>
      <c r="I84" s="87"/>
      <c r="J84" s="88"/>
      <c r="K84" s="89"/>
      <c r="L84" s="90"/>
      <c r="M84" s="35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3"/>
      <c r="B85" s="23"/>
      <c r="C85" s="24"/>
      <c r="D85" s="23"/>
      <c r="E85" s="112"/>
      <c r="F85" s="26"/>
      <c r="G85" s="26"/>
      <c r="H85" s="24"/>
      <c r="I85" s="87"/>
      <c r="J85" s="88"/>
      <c r="K85" s="89"/>
      <c r="L85" s="90"/>
      <c r="M85" s="35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3"/>
      <c r="B86" s="23"/>
      <c r="C86" s="24"/>
      <c r="D86" s="23"/>
      <c r="E86" s="112"/>
      <c r="F86" s="26"/>
      <c r="G86" s="26"/>
      <c r="H86" s="24"/>
      <c r="I86" s="87"/>
      <c r="J86" s="88"/>
      <c r="K86" s="89"/>
      <c r="L86" s="90"/>
      <c r="M86" s="35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3"/>
      <c r="B87" s="23"/>
      <c r="C87" s="24"/>
      <c r="D87" s="23"/>
      <c r="E87" s="112"/>
      <c r="F87" s="26"/>
      <c r="G87" s="26"/>
      <c r="H87" s="24"/>
      <c r="I87" s="87"/>
      <c r="J87" s="88"/>
      <c r="K87" s="89"/>
      <c r="L87" s="90"/>
      <c r="M87" s="35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3"/>
      <c r="B88" s="23"/>
      <c r="C88" s="24"/>
      <c r="D88" s="23"/>
      <c r="E88" s="112"/>
      <c r="F88" s="26"/>
      <c r="G88" s="26"/>
      <c r="H88" s="24"/>
      <c r="I88" s="87"/>
      <c r="J88" s="88"/>
      <c r="K88" s="89"/>
      <c r="L88" s="90"/>
      <c r="M88" s="35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3"/>
      <c r="B89" s="23"/>
      <c r="C89" s="24"/>
      <c r="D89" s="23"/>
      <c r="E89" s="112"/>
      <c r="F89" s="26"/>
      <c r="G89" s="26"/>
      <c r="H89" s="24"/>
      <c r="I89" s="87"/>
      <c r="J89" s="88"/>
      <c r="K89" s="89"/>
      <c r="L89" s="90"/>
      <c r="M89" s="35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3"/>
      <c r="B90" s="23"/>
      <c r="C90" s="24"/>
      <c r="D90" s="23"/>
      <c r="E90" s="112"/>
      <c r="F90" s="26"/>
      <c r="G90" s="26"/>
      <c r="H90" s="24"/>
      <c r="I90" s="87"/>
      <c r="J90" s="88"/>
      <c r="K90" s="89"/>
      <c r="L90" s="90"/>
      <c r="M90" s="35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3"/>
      <c r="B91" s="23"/>
      <c r="C91" s="24"/>
      <c r="D91" s="23"/>
      <c r="E91" s="112"/>
      <c r="F91" s="26"/>
      <c r="G91" s="26"/>
      <c r="H91" s="24"/>
      <c r="I91" s="87"/>
      <c r="J91" s="88"/>
      <c r="K91" s="89"/>
      <c r="L91" s="90"/>
      <c r="M91" s="35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3"/>
      <c r="B92" s="23"/>
      <c r="C92" s="24"/>
      <c r="D92" s="23"/>
      <c r="E92" s="112"/>
      <c r="F92" s="26"/>
      <c r="G92" s="26"/>
      <c r="H92" s="24"/>
      <c r="I92" s="87"/>
      <c r="J92" s="88"/>
      <c r="K92" s="89"/>
      <c r="L92" s="90"/>
      <c r="M92" s="35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3"/>
      <c r="B93" s="23"/>
      <c r="C93" s="24"/>
      <c r="D93" s="23"/>
      <c r="E93" s="112"/>
      <c r="F93" s="26"/>
      <c r="G93" s="26"/>
      <c r="H93" s="24"/>
      <c r="I93" s="87"/>
      <c r="J93" s="88"/>
      <c r="K93" s="89"/>
      <c r="L93" s="90"/>
      <c r="M93" s="35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3"/>
      <c r="B94" s="23"/>
      <c r="C94" s="24"/>
      <c r="D94" s="23"/>
      <c r="E94" s="112"/>
      <c r="F94" s="26"/>
      <c r="G94" s="26"/>
      <c r="H94" s="24"/>
      <c r="I94" s="87"/>
      <c r="J94" s="88"/>
      <c r="K94" s="89"/>
      <c r="L94" s="90"/>
      <c r="M94" s="35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3"/>
      <c r="B95" s="23"/>
      <c r="C95" s="24"/>
      <c r="D95" s="23"/>
      <c r="E95" s="112"/>
      <c r="F95" s="26"/>
      <c r="G95" s="26"/>
      <c r="H95" s="24"/>
      <c r="I95" s="87"/>
      <c r="J95" s="88"/>
      <c r="K95" s="89"/>
      <c r="L95" s="90"/>
      <c r="M95" s="35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2"/>
      <c r="B96" s="1"/>
      <c r="C96" s="43"/>
      <c r="D96" s="44"/>
      <c r="E96" s="114"/>
      <c r="F96" s="2"/>
      <c r="G96" s="2"/>
      <c r="H96" s="2"/>
      <c r="I96" s="91"/>
      <c r="J96" s="92"/>
      <c r="K96" s="89"/>
      <c r="L96" s="90"/>
      <c r="M96" s="35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/>
      <c r="B97" s="1"/>
      <c r="C97" s="48"/>
      <c r="D97" s="49"/>
      <c r="E97" s="115"/>
      <c r="F97" s="2"/>
      <c r="G97" s="2"/>
      <c r="H97" s="2"/>
      <c r="I97" s="91"/>
      <c r="J97" s="91"/>
      <c r="K97" s="91"/>
      <c r="L97" s="91"/>
      <c r="M97" s="51">
        <f>SUM(M7:M96)</f>
        <v>6640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/>
      <c r="B98" s="52"/>
      <c r="C98" s="43"/>
      <c r="D98" s="2"/>
      <c r="E98" s="104"/>
      <c r="F98" s="2"/>
      <c r="G98" s="2"/>
      <c r="H98" s="2"/>
      <c r="I98" s="91"/>
      <c r="J98" s="91"/>
      <c r="K98" s="91"/>
      <c r="L98" s="9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43"/>
      <c r="D99" s="2"/>
      <c r="E99" s="104"/>
      <c r="F99" s="2"/>
      <c r="G99" s="2"/>
      <c r="H99" s="2"/>
      <c r="I99" s="93"/>
      <c r="J99" s="91"/>
      <c r="K99" s="91"/>
      <c r="L99" s="9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2"/>
      <c r="D100" s="2"/>
      <c r="E100" s="104"/>
      <c r="F100" s="2"/>
      <c r="G100" s="2"/>
      <c r="H100" s="2"/>
      <c r="I100" s="91"/>
      <c r="J100" s="93"/>
      <c r="K100" s="93"/>
      <c r="L100" s="93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2"/>
      <c r="D101" s="2"/>
      <c r="E101" s="104"/>
      <c r="F101" s="2"/>
      <c r="G101" s="2"/>
      <c r="H101" s="2"/>
      <c r="I101" s="91"/>
      <c r="J101" s="91"/>
      <c r="K101" s="91"/>
      <c r="L101" s="9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2"/>
      <c r="D102" s="2"/>
      <c r="E102" s="104"/>
      <c r="F102" s="2"/>
      <c r="G102" s="2"/>
      <c r="H102" s="2"/>
      <c r="I102" s="91"/>
      <c r="J102" s="91"/>
      <c r="K102" s="91"/>
      <c r="L102" s="9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2"/>
      <c r="D103" s="2"/>
      <c r="E103" s="104"/>
      <c r="F103" s="2"/>
      <c r="G103" s="2"/>
      <c r="H103" s="2"/>
      <c r="I103" s="91"/>
      <c r="J103" s="91"/>
      <c r="K103" s="91"/>
      <c r="L103" s="9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2"/>
      <c r="D104" s="2"/>
      <c r="E104" s="104"/>
      <c r="F104" s="2"/>
      <c r="G104" s="2"/>
      <c r="H104" s="2"/>
      <c r="I104" s="91"/>
      <c r="J104" s="91"/>
      <c r="K104" s="91"/>
      <c r="L104" s="9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2"/>
      <c r="D105" s="2"/>
      <c r="E105" s="104"/>
      <c r="F105" s="2"/>
      <c r="G105" s="2"/>
      <c r="H105" s="2"/>
      <c r="I105" s="17" t="s">
        <v>11</v>
      </c>
      <c r="J105" s="91"/>
      <c r="K105" s="91"/>
      <c r="L105" s="9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2"/>
      <c r="D106" s="2"/>
      <c r="E106" s="104"/>
      <c r="F106" s="2"/>
      <c r="G106" s="2"/>
      <c r="H106" s="2"/>
      <c r="I106" s="54">
        <f>SUM(I7:I96)</f>
        <v>2240</v>
      </c>
      <c r="J106" s="55" t="s">
        <v>12</v>
      </c>
      <c r="K106" s="94"/>
      <c r="L106" s="95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2"/>
      <c r="D107" s="2"/>
      <c r="E107" s="104"/>
      <c r="F107" s="2"/>
      <c r="G107" s="2"/>
      <c r="H107" s="2"/>
      <c r="I107" s="58">
        <f>SUM(I106*2%)</f>
        <v>44.8</v>
      </c>
      <c r="J107" s="59">
        <f>SUM(J7:J96)</f>
        <v>600</v>
      </c>
      <c r="K107" s="103" t="s">
        <v>72</v>
      </c>
      <c r="L107" s="95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61"/>
      <c r="F108" s="1"/>
      <c r="G108" s="1"/>
      <c r="H108" s="1"/>
      <c r="I108" s="1"/>
      <c r="J108" s="54">
        <f>SUM(J107*2%)</f>
        <v>12</v>
      </c>
      <c r="K108" s="54">
        <f>SUM(K7:K96)</f>
        <v>450</v>
      </c>
      <c r="L108" s="62" t="s">
        <v>14</v>
      </c>
      <c r="M108" s="3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61"/>
      <c r="F109" s="1"/>
      <c r="G109" s="1"/>
      <c r="H109" s="1"/>
      <c r="I109" s="1"/>
      <c r="J109" s="63"/>
      <c r="K109" s="58">
        <f>SUM(K108*2%)</f>
        <v>9</v>
      </c>
      <c r="L109" s="64">
        <f>SUM(L8:L97)</f>
        <v>3500</v>
      </c>
      <c r="M109" s="65" t="s">
        <v>19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61"/>
      <c r="F110" s="1"/>
      <c r="G110" s="1"/>
      <c r="H110" s="1"/>
      <c r="I110" s="1"/>
      <c r="J110" s="1"/>
      <c r="K110" s="1"/>
      <c r="L110" s="58">
        <f>SUM(L109*2%)</f>
        <v>70</v>
      </c>
      <c r="M110" s="66">
        <f>SUM(M97)</f>
        <v>6640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6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6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6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6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6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6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6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6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6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6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6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6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6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6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6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6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6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6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6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6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6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6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6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6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6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6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6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6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6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6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6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6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6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6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6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6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6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6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6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6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6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6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6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6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6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6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6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6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6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6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6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6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6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6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6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6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6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6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6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6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6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6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6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6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6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6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6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6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6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6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6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6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6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6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6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6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6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6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6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6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6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6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6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6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6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6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6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6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6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6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6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6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6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6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6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6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6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6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6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6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6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6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6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6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6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6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6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6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6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6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6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6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6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6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6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6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6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6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6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6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6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6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6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6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6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6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6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6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6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6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6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6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6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6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6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6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6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6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6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6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6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6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6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6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6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6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6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6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6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6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6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6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6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6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6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6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6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6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6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6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6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6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6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6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6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6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6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6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6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6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6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6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6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6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6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6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6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6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6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6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6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6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6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6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6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6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6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6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6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6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6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6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6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6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6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6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6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6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6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6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6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6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6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6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6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6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6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6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6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6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6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6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6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6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6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6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6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6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6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6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6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6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6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6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6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6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6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6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6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6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6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6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6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6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6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6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6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6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6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6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6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6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6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6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6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6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6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6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6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6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6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6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6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6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6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6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6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6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6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6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6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6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6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6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6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6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6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6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6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6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6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6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6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6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6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6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6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6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6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6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6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6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6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6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6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6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6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6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6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6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6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6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6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6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6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6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6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6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6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6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6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6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6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6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6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6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6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6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6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6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6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6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6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6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6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6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6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6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6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6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6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6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6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6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6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6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6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6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6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6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6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6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6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6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6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6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6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6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6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6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6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6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6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6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6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6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6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6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6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6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6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6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6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6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6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6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6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6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6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6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6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6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6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6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6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6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6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6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6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6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6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6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6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6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6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6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6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6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6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6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6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6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6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6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6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6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6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6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6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6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6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6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6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6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6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6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6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6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6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6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6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6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6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6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6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6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6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6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6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6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6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6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6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6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6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6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6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6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6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6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6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6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6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6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6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6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6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6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6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6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6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6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6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6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6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6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6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6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6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6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6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6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6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6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6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6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6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6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6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6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6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6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6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6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6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6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6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6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6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6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6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6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6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6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6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6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6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6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6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6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6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6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6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6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6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6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6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6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6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6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6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6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6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6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6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6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6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6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6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6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6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6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6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6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6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6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6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6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6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6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6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6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6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6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6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6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6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6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6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6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6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6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6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6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6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6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6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6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6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6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6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6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6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6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6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6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6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6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6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6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6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6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6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6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6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6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6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6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6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6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6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6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6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6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6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6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6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6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6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6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6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6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6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6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6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6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6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6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6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6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6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6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6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6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6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6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6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6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6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6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6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6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6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6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6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6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6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6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6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6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6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6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6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6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6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6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6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6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6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6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6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6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6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6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6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6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6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6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6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6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6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6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6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6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6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6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6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6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6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6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6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6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6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6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6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6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6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6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6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6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6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6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6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6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6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6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6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6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6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6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6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6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6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6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6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6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6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6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6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6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6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6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6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6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6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6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6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6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6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6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6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6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6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6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6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6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6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6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6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6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6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6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6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6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6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6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6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6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6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6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6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6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6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6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6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6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6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6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6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6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6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6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6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6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6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6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6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6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6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6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6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6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6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6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6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6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6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6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6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6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6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6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6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6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6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6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6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6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6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6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6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6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6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6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6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6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6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6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6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6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6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6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6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6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6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6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6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6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6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6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6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6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6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6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6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6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6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6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6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6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6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6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6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6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6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6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6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6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6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6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6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6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6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6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6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6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6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6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6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6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6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6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6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6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6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6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6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6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6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6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6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6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6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6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6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6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6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6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6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6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6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6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6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6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6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6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6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6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6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6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6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6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6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6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6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6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6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6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6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6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6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6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6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6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6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6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6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6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6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6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6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6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6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6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6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6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6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6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6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6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6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6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6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6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6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6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6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6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6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6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6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6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6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6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6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6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6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6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6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6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6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6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6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6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6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6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6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6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6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6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6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6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6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6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6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6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6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6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6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6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6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6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6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6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6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6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6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6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6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6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6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6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6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6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6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6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6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6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6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6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6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6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6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6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6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6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6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6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6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6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6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6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4">
    <mergeCell ref="A2:O2"/>
    <mergeCell ref="A3:O3"/>
    <mergeCell ref="A4:O5"/>
    <mergeCell ref="N8:O8"/>
  </mergeCells>
  <dataValidations>
    <dataValidation type="list" allowBlank="1" showErrorMessage="1" sqref="A7:A95">
      <formula1>"Pix,Cartão,Pacote ,Pago "</formula1>
    </dataValidation>
    <dataValidation type="list" allowBlank="1" showErrorMessage="1" sqref="D7:D95">
      <formula1>"White board,Cartoon ,3D ,3D personalizado,3D Premium,VSL,Logo,Post,Influencer Pamela,Influencer João B.,3D Estatico ,3D Realista,Edição audio,Pov,Flow,Personalização,Explainer,mascotes"</formula1>
    </dataValidation>
    <dataValidation type="list" allowBlank="1" showErrorMessage="1" sqref="H11">
      <formula1>"Vinicius,Kaua,Caio,Julia,Jhonatas,Diogo,Caio Ferreira,Pamelah,Caio Alves,Camila,Wiliam ,Gabriel ,Fernanda,Kaua Pessoni,Gabriel Batista,Gustavo Pereira,Demetrio ,Caio Vinicius,Wesley,Miriã"</formula1>
    </dataValidation>
    <dataValidation type="list" allowBlank="1" showErrorMessage="1" sqref="H20">
      <formula1>"Vinicius,Kaua,Caio,Julia,Jhonatas,Diogo,Caio Ferreira,Pamelah,Caio Alves,Camila,Wiliam ,Gabriel ,Fernanda,Kaua Pessoni,Gabriel Batista,Gustavo Pereira,Demetrio ,Caio Vinicius,Wesley,MIRIÃ"</formula1>
    </dataValidation>
    <dataValidation type="list" allowBlank="1" showErrorMessage="1" sqref="H7:H10 H12:H19 C7:C95 H21:H95">
      <formula1>"Vinicius,Kaua,Caio,Julia,Jhonatas,Diogo,Caio Ferreira,Pamelah,Caio Alves,Camila,Wiliam ,Gabriel ,Fernanda,Kaua Pessoni,Gabriel Batista,Gustavo Pereira,Demetrio ,Caio Vinicius,Wesley"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5" max="5" width="21.63"/>
    <col customWidth="1" min="6" max="6" width="15.63"/>
  </cols>
  <sheetData>
    <row r="1">
      <c r="A1" s="1"/>
      <c r="B1" s="1"/>
      <c r="C1" s="2"/>
      <c r="D1" s="2"/>
      <c r="E1" s="2"/>
      <c r="F1" s="2"/>
      <c r="G1" s="2"/>
      <c r="H1" s="2"/>
      <c r="I1" s="67"/>
      <c r="J1" s="67"/>
      <c r="K1" s="67"/>
      <c r="L1" s="67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7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4" t="s">
        <v>3</v>
      </c>
      <c r="B6" s="15" t="s">
        <v>4</v>
      </c>
      <c r="C6" s="15" t="s">
        <v>5</v>
      </c>
      <c r="D6" s="15" t="s">
        <v>6</v>
      </c>
      <c r="E6" s="15" t="s">
        <v>7</v>
      </c>
      <c r="F6" s="16" t="s">
        <v>8</v>
      </c>
      <c r="G6" s="14" t="s">
        <v>9</v>
      </c>
      <c r="H6" s="14" t="s">
        <v>10</v>
      </c>
      <c r="I6" s="17" t="s">
        <v>11</v>
      </c>
      <c r="J6" s="18" t="s">
        <v>12</v>
      </c>
      <c r="K6" s="19" t="s">
        <v>13</v>
      </c>
      <c r="L6" s="20" t="s">
        <v>14</v>
      </c>
      <c r="M6" s="21" t="s">
        <v>15</v>
      </c>
      <c r="N6" s="2"/>
      <c r="O6" s="2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68" t="s">
        <v>51</v>
      </c>
      <c r="B7" s="23"/>
      <c r="C7" s="82" t="s">
        <v>29</v>
      </c>
      <c r="D7" s="68" t="s">
        <v>24</v>
      </c>
      <c r="E7" s="116" t="s">
        <v>108</v>
      </c>
      <c r="F7" s="25"/>
      <c r="G7" s="106">
        <v>4.791038701E9</v>
      </c>
      <c r="H7" s="24"/>
      <c r="I7" s="72"/>
      <c r="J7" s="73"/>
      <c r="K7" s="74"/>
      <c r="L7" s="75" t="s">
        <v>109</v>
      </c>
      <c r="M7" s="27" t="s">
        <v>58</v>
      </c>
      <c r="N7" s="2"/>
      <c r="O7" s="22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68" t="s">
        <v>20</v>
      </c>
      <c r="B8" s="23"/>
      <c r="C8" s="82" t="s">
        <v>110</v>
      </c>
      <c r="D8" s="68" t="s">
        <v>53</v>
      </c>
      <c r="E8" s="77" t="s">
        <v>111</v>
      </c>
      <c r="F8" s="26"/>
      <c r="G8" s="78" t="s">
        <v>112</v>
      </c>
      <c r="H8" s="82" t="s">
        <v>39</v>
      </c>
      <c r="I8" s="72"/>
      <c r="J8" s="79">
        <v>300.0</v>
      </c>
      <c r="K8" s="74"/>
      <c r="L8" s="80"/>
      <c r="M8" s="27">
        <v>150.0</v>
      </c>
      <c r="N8" s="33" t="s">
        <v>16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8" t="s">
        <v>20</v>
      </c>
      <c r="B9" s="23"/>
      <c r="C9" s="82" t="s">
        <v>113</v>
      </c>
      <c r="D9" s="68" t="s">
        <v>53</v>
      </c>
      <c r="E9" s="77" t="s">
        <v>114</v>
      </c>
      <c r="F9" s="26"/>
      <c r="G9" s="78" t="s">
        <v>115</v>
      </c>
      <c r="H9" s="82" t="s">
        <v>39</v>
      </c>
      <c r="I9" s="72"/>
      <c r="J9" s="73"/>
      <c r="K9" s="99">
        <v>300.0</v>
      </c>
      <c r="L9" s="80"/>
      <c r="M9" s="84">
        <v>300.0</v>
      </c>
      <c r="N9" s="17" t="s">
        <v>11</v>
      </c>
      <c r="O9" s="34">
        <f>SUM(I6:I95)</f>
        <v>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8" t="s">
        <v>20</v>
      </c>
      <c r="B10" s="23"/>
      <c r="C10" s="24"/>
      <c r="D10" s="68" t="s">
        <v>53</v>
      </c>
      <c r="E10" s="68" t="s">
        <v>116</v>
      </c>
      <c r="F10" s="26"/>
      <c r="G10" s="78">
        <v>1.19963108895E11</v>
      </c>
      <c r="H10" s="24"/>
      <c r="I10" s="72"/>
      <c r="J10" s="79">
        <v>250.0</v>
      </c>
      <c r="K10" s="74"/>
      <c r="L10" s="80"/>
      <c r="M10" s="100">
        <v>50.0</v>
      </c>
      <c r="N10" s="18" t="s">
        <v>12</v>
      </c>
      <c r="O10" s="34">
        <f>SUM(J7:J95)</f>
        <v>550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3"/>
      <c r="B11" s="23"/>
      <c r="C11" s="24"/>
      <c r="D11" s="23"/>
      <c r="E11" s="23"/>
      <c r="F11" s="26"/>
      <c r="G11" s="26"/>
      <c r="H11" s="24"/>
      <c r="I11" s="72"/>
      <c r="J11" s="73"/>
      <c r="K11" s="74"/>
      <c r="L11" s="80"/>
      <c r="M11" s="32"/>
      <c r="N11" s="19" t="s">
        <v>13</v>
      </c>
      <c r="O11" s="34">
        <f>SUM(K7:K96)</f>
        <v>300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3"/>
      <c r="B12" s="23"/>
      <c r="C12" s="24"/>
      <c r="D12" s="23"/>
      <c r="E12" s="23"/>
      <c r="F12" s="26"/>
      <c r="G12" s="26"/>
      <c r="H12" s="24"/>
      <c r="I12" s="72"/>
      <c r="J12" s="73"/>
      <c r="K12" s="74"/>
      <c r="L12" s="80"/>
      <c r="M12" s="32"/>
      <c r="N12" s="20" t="s">
        <v>14</v>
      </c>
      <c r="O12" s="34">
        <f>SUM(L7:L96)</f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3"/>
      <c r="B13" s="23"/>
      <c r="C13" s="24"/>
      <c r="D13" s="23"/>
      <c r="E13" s="26"/>
      <c r="F13" s="26"/>
      <c r="G13" s="26"/>
      <c r="H13" s="24"/>
      <c r="I13" s="72"/>
      <c r="J13" s="73"/>
      <c r="K13" s="74"/>
      <c r="L13" s="80"/>
      <c r="M13" s="35"/>
      <c r="N13" s="36" t="s">
        <v>17</v>
      </c>
      <c r="O13" s="37">
        <f>SUM(N8:O12)</f>
        <v>850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3"/>
      <c r="B14" s="23"/>
      <c r="C14" s="24"/>
      <c r="D14" s="23"/>
      <c r="E14" s="26"/>
      <c r="F14" s="26"/>
      <c r="G14" s="26"/>
      <c r="H14" s="24"/>
      <c r="I14" s="72"/>
      <c r="J14" s="73"/>
      <c r="K14" s="74"/>
      <c r="L14" s="80"/>
      <c r="M14" s="35"/>
      <c r="N14" s="2"/>
      <c r="O14" s="2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3"/>
      <c r="B15" s="23"/>
      <c r="C15" s="24"/>
      <c r="D15" s="23"/>
      <c r="E15" s="26"/>
      <c r="F15" s="26"/>
      <c r="G15" s="26"/>
      <c r="H15" s="24"/>
      <c r="I15" s="72"/>
      <c r="J15" s="73"/>
      <c r="K15" s="74"/>
      <c r="L15" s="80"/>
      <c r="M15" s="35"/>
      <c r="N15" s="2"/>
      <c r="O15" s="2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3"/>
      <c r="B16" s="23"/>
      <c r="C16" s="24"/>
      <c r="D16" s="23"/>
      <c r="E16" s="26"/>
      <c r="F16" s="26"/>
      <c r="G16" s="26"/>
      <c r="H16" s="24"/>
      <c r="I16" s="72"/>
      <c r="J16" s="73"/>
      <c r="K16" s="74"/>
      <c r="L16" s="80"/>
      <c r="M16" s="35"/>
      <c r="N16" s="2"/>
      <c r="O16" s="2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3"/>
      <c r="B17" s="23"/>
      <c r="C17" s="24"/>
      <c r="D17" s="23"/>
      <c r="E17" s="26"/>
      <c r="F17" s="26"/>
      <c r="G17" s="26"/>
      <c r="H17" s="24"/>
      <c r="I17" s="72"/>
      <c r="J17" s="73"/>
      <c r="K17" s="74"/>
      <c r="L17" s="80"/>
      <c r="M17" s="35"/>
      <c r="N17" s="2"/>
      <c r="O17" s="2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3"/>
      <c r="B18" s="23"/>
      <c r="C18" s="24"/>
      <c r="D18" s="23"/>
      <c r="E18" s="26"/>
      <c r="F18" s="26"/>
      <c r="G18" s="26"/>
      <c r="H18" s="24"/>
      <c r="I18" s="72"/>
      <c r="J18" s="73"/>
      <c r="K18" s="74"/>
      <c r="L18" s="80"/>
      <c r="M18" s="35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3"/>
      <c r="B19" s="23"/>
      <c r="C19" s="24"/>
      <c r="D19" s="23"/>
      <c r="E19" s="26"/>
      <c r="F19" s="26"/>
      <c r="G19" s="26"/>
      <c r="H19" s="24"/>
      <c r="I19" s="72"/>
      <c r="J19" s="73"/>
      <c r="K19" s="74"/>
      <c r="L19" s="80"/>
      <c r="M19" s="3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3"/>
      <c r="B20" s="23"/>
      <c r="C20" s="24"/>
      <c r="D20" s="23"/>
      <c r="E20" s="26"/>
      <c r="F20" s="26"/>
      <c r="G20" s="26"/>
      <c r="H20" s="24"/>
      <c r="I20" s="72"/>
      <c r="J20" s="73"/>
      <c r="K20" s="74"/>
      <c r="L20" s="80"/>
      <c r="M20" s="3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3"/>
      <c r="B21" s="23"/>
      <c r="C21" s="24"/>
      <c r="D21" s="23"/>
      <c r="E21" s="26"/>
      <c r="F21" s="26"/>
      <c r="G21" s="26"/>
      <c r="H21" s="24"/>
      <c r="I21" s="72"/>
      <c r="J21" s="73"/>
      <c r="K21" s="74"/>
      <c r="L21" s="80"/>
      <c r="M21" s="3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3"/>
      <c r="B22" s="23"/>
      <c r="C22" s="24"/>
      <c r="D22" s="23"/>
      <c r="E22" s="26"/>
      <c r="F22" s="26"/>
      <c r="G22" s="26"/>
      <c r="H22" s="24"/>
      <c r="I22" s="72"/>
      <c r="J22" s="73"/>
      <c r="K22" s="74"/>
      <c r="L22" s="80"/>
      <c r="M22" s="3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3"/>
      <c r="B23" s="23"/>
      <c r="C23" s="24"/>
      <c r="D23" s="23"/>
      <c r="E23" s="26"/>
      <c r="F23" s="26"/>
      <c r="G23" s="26"/>
      <c r="H23" s="24"/>
      <c r="I23" s="72"/>
      <c r="J23" s="73"/>
      <c r="K23" s="74"/>
      <c r="L23" s="80"/>
      <c r="M23" s="3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3"/>
      <c r="B24" s="23"/>
      <c r="C24" s="24"/>
      <c r="D24" s="23"/>
      <c r="E24" s="26"/>
      <c r="F24" s="26"/>
      <c r="G24" s="26"/>
      <c r="H24" s="24"/>
      <c r="I24" s="87"/>
      <c r="J24" s="88"/>
      <c r="K24" s="89"/>
      <c r="L24" s="90"/>
      <c r="M24" s="3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3"/>
      <c r="B25" s="23"/>
      <c r="C25" s="24"/>
      <c r="D25" s="23"/>
      <c r="E25" s="26"/>
      <c r="F25" s="26"/>
      <c r="G25" s="26"/>
      <c r="H25" s="24"/>
      <c r="I25" s="87"/>
      <c r="J25" s="88"/>
      <c r="K25" s="89"/>
      <c r="L25" s="90"/>
      <c r="M25" s="3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3"/>
      <c r="B26" s="23"/>
      <c r="C26" s="24"/>
      <c r="D26" s="23"/>
      <c r="E26" s="26"/>
      <c r="F26" s="26"/>
      <c r="G26" s="26"/>
      <c r="H26" s="24"/>
      <c r="I26" s="87"/>
      <c r="J26" s="88"/>
      <c r="K26" s="89"/>
      <c r="L26" s="90"/>
      <c r="M26" s="3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3"/>
      <c r="B27" s="23"/>
      <c r="C27" s="24"/>
      <c r="D27" s="23"/>
      <c r="E27" s="26"/>
      <c r="F27" s="26"/>
      <c r="G27" s="26"/>
      <c r="H27" s="24"/>
      <c r="I27" s="87"/>
      <c r="J27" s="88"/>
      <c r="K27" s="89"/>
      <c r="L27" s="90"/>
      <c r="M27" s="3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3"/>
      <c r="B28" s="23"/>
      <c r="C28" s="24"/>
      <c r="D28" s="23"/>
      <c r="E28" s="26"/>
      <c r="F28" s="26"/>
      <c r="G28" s="26"/>
      <c r="H28" s="24"/>
      <c r="I28" s="87"/>
      <c r="J28" s="88"/>
      <c r="K28" s="89"/>
      <c r="L28" s="90"/>
      <c r="M28" s="35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3"/>
      <c r="B29" s="23"/>
      <c r="C29" s="24"/>
      <c r="D29" s="23"/>
      <c r="E29" s="26"/>
      <c r="F29" s="26"/>
      <c r="G29" s="26"/>
      <c r="H29" s="24"/>
      <c r="I29" s="87"/>
      <c r="J29" s="88"/>
      <c r="K29" s="89"/>
      <c r="L29" s="90"/>
      <c r="M29" s="3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3"/>
      <c r="B30" s="23"/>
      <c r="C30" s="24"/>
      <c r="D30" s="23"/>
      <c r="E30" s="26"/>
      <c r="F30" s="26"/>
      <c r="G30" s="26"/>
      <c r="H30" s="24"/>
      <c r="I30" s="87"/>
      <c r="J30" s="88"/>
      <c r="K30" s="89"/>
      <c r="L30" s="90"/>
      <c r="M30" s="3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3"/>
      <c r="B31" s="23"/>
      <c r="C31" s="24"/>
      <c r="D31" s="23"/>
      <c r="E31" s="26"/>
      <c r="F31" s="26"/>
      <c r="G31" s="26"/>
      <c r="H31" s="24"/>
      <c r="I31" s="87"/>
      <c r="J31" s="88"/>
      <c r="K31" s="89"/>
      <c r="L31" s="90"/>
      <c r="M31" s="3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3"/>
      <c r="B32" s="23"/>
      <c r="C32" s="24"/>
      <c r="D32" s="23"/>
      <c r="E32" s="26"/>
      <c r="F32" s="26"/>
      <c r="G32" s="26"/>
      <c r="H32" s="24"/>
      <c r="I32" s="87"/>
      <c r="J32" s="88"/>
      <c r="K32" s="89"/>
      <c r="L32" s="90"/>
      <c r="M32" s="3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3"/>
      <c r="B33" s="23"/>
      <c r="C33" s="24"/>
      <c r="D33" s="23"/>
      <c r="E33" s="26"/>
      <c r="F33" s="26"/>
      <c r="G33" s="26"/>
      <c r="H33" s="24"/>
      <c r="I33" s="87"/>
      <c r="J33" s="88"/>
      <c r="K33" s="89"/>
      <c r="L33" s="90"/>
      <c r="M33" s="3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3"/>
      <c r="B34" s="23"/>
      <c r="C34" s="24"/>
      <c r="D34" s="23"/>
      <c r="E34" s="26"/>
      <c r="F34" s="26"/>
      <c r="G34" s="26"/>
      <c r="H34" s="24"/>
      <c r="I34" s="87"/>
      <c r="J34" s="88"/>
      <c r="K34" s="89"/>
      <c r="L34" s="90"/>
      <c r="M34" s="3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3"/>
      <c r="B35" s="23"/>
      <c r="C35" s="24"/>
      <c r="D35" s="23"/>
      <c r="E35" s="26"/>
      <c r="F35" s="26"/>
      <c r="G35" s="26"/>
      <c r="H35" s="24"/>
      <c r="I35" s="87"/>
      <c r="J35" s="88"/>
      <c r="K35" s="89"/>
      <c r="L35" s="90"/>
      <c r="M35" s="3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3"/>
      <c r="B36" s="23"/>
      <c r="C36" s="24"/>
      <c r="D36" s="23"/>
      <c r="E36" s="26"/>
      <c r="F36" s="26"/>
      <c r="G36" s="26"/>
      <c r="H36" s="24"/>
      <c r="I36" s="87"/>
      <c r="J36" s="73"/>
      <c r="K36" s="74"/>
      <c r="L36" s="80"/>
      <c r="M36" s="4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3"/>
      <c r="B37" s="23"/>
      <c r="C37" s="24"/>
      <c r="D37" s="23"/>
      <c r="E37" s="26"/>
      <c r="F37" s="26"/>
      <c r="G37" s="26"/>
      <c r="H37" s="24"/>
      <c r="I37" s="87"/>
      <c r="J37" s="73"/>
      <c r="K37" s="74"/>
      <c r="L37" s="80"/>
      <c r="M37" s="4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3"/>
      <c r="B38" s="23"/>
      <c r="C38" s="24"/>
      <c r="D38" s="23"/>
      <c r="E38" s="26"/>
      <c r="F38" s="26"/>
      <c r="G38" s="26"/>
      <c r="H38" s="24"/>
      <c r="I38" s="87"/>
      <c r="J38" s="73"/>
      <c r="K38" s="74"/>
      <c r="L38" s="80"/>
      <c r="M38" s="4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3"/>
      <c r="B39" s="23"/>
      <c r="C39" s="24"/>
      <c r="D39" s="23"/>
      <c r="E39" s="26"/>
      <c r="F39" s="26"/>
      <c r="G39" s="26"/>
      <c r="H39" s="24"/>
      <c r="I39" s="87"/>
      <c r="J39" s="73"/>
      <c r="K39" s="74"/>
      <c r="L39" s="80"/>
      <c r="M39" s="4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3"/>
      <c r="B40" s="23"/>
      <c r="C40" s="24"/>
      <c r="D40" s="23"/>
      <c r="E40" s="26"/>
      <c r="F40" s="26"/>
      <c r="G40" s="26"/>
      <c r="H40" s="24"/>
      <c r="I40" s="87"/>
      <c r="J40" s="73"/>
      <c r="K40" s="74"/>
      <c r="L40" s="80"/>
      <c r="M40" s="4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3"/>
      <c r="B41" s="23"/>
      <c r="C41" s="24"/>
      <c r="D41" s="23"/>
      <c r="E41" s="26"/>
      <c r="F41" s="26"/>
      <c r="G41" s="26"/>
      <c r="H41" s="24"/>
      <c r="I41" s="87"/>
      <c r="J41" s="73"/>
      <c r="K41" s="74"/>
      <c r="L41" s="80"/>
      <c r="M41" s="4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3"/>
      <c r="B42" s="23"/>
      <c r="C42" s="24"/>
      <c r="D42" s="23"/>
      <c r="E42" s="35"/>
      <c r="F42" s="35"/>
      <c r="G42" s="35"/>
      <c r="H42" s="24"/>
      <c r="I42" s="87"/>
      <c r="J42" s="73"/>
      <c r="K42" s="74"/>
      <c r="L42" s="80"/>
      <c r="M42" s="4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3"/>
      <c r="B43" s="23"/>
      <c r="C43" s="24"/>
      <c r="D43" s="23"/>
      <c r="E43" s="26"/>
      <c r="F43" s="26"/>
      <c r="G43" s="26"/>
      <c r="H43" s="24"/>
      <c r="I43" s="87"/>
      <c r="J43" s="73"/>
      <c r="K43" s="74"/>
      <c r="L43" s="80"/>
      <c r="M43" s="4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3"/>
      <c r="B44" s="23"/>
      <c r="C44" s="24"/>
      <c r="D44" s="23"/>
      <c r="E44" s="26"/>
      <c r="F44" s="26"/>
      <c r="G44" s="26"/>
      <c r="H44" s="24"/>
      <c r="I44" s="87"/>
      <c r="J44" s="73"/>
      <c r="K44" s="74"/>
      <c r="L44" s="80"/>
      <c r="M44" s="4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3"/>
      <c r="B45" s="23"/>
      <c r="C45" s="24"/>
      <c r="D45" s="23"/>
      <c r="E45" s="26"/>
      <c r="F45" s="26"/>
      <c r="G45" s="26"/>
      <c r="H45" s="24"/>
      <c r="I45" s="87"/>
      <c r="J45" s="73"/>
      <c r="K45" s="74"/>
      <c r="L45" s="80"/>
      <c r="M45" s="4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3"/>
      <c r="B46" s="23"/>
      <c r="C46" s="24"/>
      <c r="D46" s="23"/>
      <c r="E46" s="26"/>
      <c r="F46" s="26"/>
      <c r="G46" s="26"/>
      <c r="H46" s="24"/>
      <c r="I46" s="72"/>
      <c r="J46" s="73"/>
      <c r="K46" s="74"/>
      <c r="L46" s="80"/>
      <c r="M46" s="4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3"/>
      <c r="B47" s="23"/>
      <c r="C47" s="24"/>
      <c r="D47" s="23"/>
      <c r="E47" s="26"/>
      <c r="F47" s="26"/>
      <c r="G47" s="26"/>
      <c r="H47" s="24"/>
      <c r="I47" s="72"/>
      <c r="J47" s="73"/>
      <c r="K47" s="74"/>
      <c r="L47" s="80"/>
      <c r="M47" s="4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3"/>
      <c r="B48" s="23"/>
      <c r="C48" s="24"/>
      <c r="D48" s="23"/>
      <c r="E48" s="26"/>
      <c r="F48" s="26"/>
      <c r="G48" s="26"/>
      <c r="H48" s="24"/>
      <c r="I48" s="72"/>
      <c r="J48" s="73"/>
      <c r="K48" s="74"/>
      <c r="L48" s="80"/>
      <c r="M48" s="4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3"/>
      <c r="B49" s="23"/>
      <c r="C49" s="24"/>
      <c r="D49" s="23"/>
      <c r="E49" s="26"/>
      <c r="F49" s="26"/>
      <c r="G49" s="26"/>
      <c r="H49" s="24"/>
      <c r="I49" s="72"/>
      <c r="J49" s="73"/>
      <c r="K49" s="74"/>
      <c r="L49" s="80"/>
      <c r="M49" s="4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3"/>
      <c r="B50" s="23"/>
      <c r="C50" s="24"/>
      <c r="D50" s="23"/>
      <c r="E50" s="26"/>
      <c r="F50" s="26"/>
      <c r="G50" s="26"/>
      <c r="H50" s="24"/>
      <c r="I50" s="87"/>
      <c r="J50" s="73"/>
      <c r="K50" s="74"/>
      <c r="L50" s="80"/>
      <c r="M50" s="4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3"/>
      <c r="B51" s="23"/>
      <c r="C51" s="24"/>
      <c r="D51" s="23"/>
      <c r="E51" s="26"/>
      <c r="F51" s="26"/>
      <c r="G51" s="26"/>
      <c r="H51" s="24"/>
      <c r="I51" s="87"/>
      <c r="J51" s="73"/>
      <c r="K51" s="74"/>
      <c r="L51" s="80"/>
      <c r="M51" s="4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3"/>
      <c r="B52" s="23"/>
      <c r="C52" s="24"/>
      <c r="D52" s="23"/>
      <c r="E52" s="26"/>
      <c r="F52" s="26"/>
      <c r="G52" s="26"/>
      <c r="H52" s="24"/>
      <c r="I52" s="87"/>
      <c r="J52" s="73"/>
      <c r="K52" s="74"/>
      <c r="L52" s="80"/>
      <c r="M52" s="4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3"/>
      <c r="B53" s="23"/>
      <c r="C53" s="24"/>
      <c r="D53" s="23"/>
      <c r="E53" s="26"/>
      <c r="F53" s="26"/>
      <c r="G53" s="26"/>
      <c r="H53" s="24"/>
      <c r="I53" s="87"/>
      <c r="J53" s="73"/>
      <c r="K53" s="74"/>
      <c r="L53" s="80"/>
      <c r="M53" s="4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3"/>
      <c r="B54" s="23"/>
      <c r="C54" s="24"/>
      <c r="D54" s="23"/>
      <c r="E54" s="26"/>
      <c r="F54" s="26"/>
      <c r="G54" s="26"/>
      <c r="H54" s="24"/>
      <c r="I54" s="87"/>
      <c r="J54" s="73"/>
      <c r="K54" s="74"/>
      <c r="L54" s="80"/>
      <c r="M54" s="4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3"/>
      <c r="B55" s="23"/>
      <c r="C55" s="24"/>
      <c r="D55" s="23"/>
      <c r="E55" s="26"/>
      <c r="F55" s="26"/>
      <c r="G55" s="26"/>
      <c r="H55" s="24"/>
      <c r="I55" s="87"/>
      <c r="J55" s="73"/>
      <c r="K55" s="74"/>
      <c r="L55" s="80"/>
      <c r="M55" s="4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3"/>
      <c r="B56" s="23"/>
      <c r="C56" s="24"/>
      <c r="D56" s="23"/>
      <c r="E56" s="26"/>
      <c r="F56" s="26"/>
      <c r="G56" s="26"/>
      <c r="H56" s="24"/>
      <c r="I56" s="87"/>
      <c r="J56" s="73"/>
      <c r="K56" s="74"/>
      <c r="L56" s="80"/>
      <c r="M56" s="4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3"/>
      <c r="B57" s="23"/>
      <c r="C57" s="24"/>
      <c r="D57" s="23"/>
      <c r="E57" s="26"/>
      <c r="F57" s="26"/>
      <c r="G57" s="26"/>
      <c r="H57" s="24"/>
      <c r="I57" s="87"/>
      <c r="J57" s="88"/>
      <c r="K57" s="89"/>
      <c r="L57" s="90"/>
      <c r="M57" s="35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3"/>
      <c r="B58" s="23"/>
      <c r="C58" s="24"/>
      <c r="D58" s="23"/>
      <c r="E58" s="26"/>
      <c r="F58" s="26"/>
      <c r="G58" s="26"/>
      <c r="H58" s="24"/>
      <c r="I58" s="87"/>
      <c r="J58" s="73"/>
      <c r="K58" s="74"/>
      <c r="L58" s="80"/>
      <c r="M58" s="4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3"/>
      <c r="B59" s="23"/>
      <c r="C59" s="24"/>
      <c r="D59" s="23"/>
      <c r="E59" s="26"/>
      <c r="F59" s="26"/>
      <c r="G59" s="26"/>
      <c r="H59" s="24"/>
      <c r="I59" s="87"/>
      <c r="J59" s="73"/>
      <c r="K59" s="74"/>
      <c r="L59" s="80"/>
      <c r="M59" s="4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3"/>
      <c r="B60" s="23"/>
      <c r="C60" s="24"/>
      <c r="D60" s="23"/>
      <c r="E60" s="26"/>
      <c r="F60" s="26"/>
      <c r="G60" s="26"/>
      <c r="H60" s="24"/>
      <c r="I60" s="87"/>
      <c r="J60" s="73"/>
      <c r="K60" s="74"/>
      <c r="L60" s="80"/>
      <c r="M60" s="4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3"/>
      <c r="B61" s="23"/>
      <c r="C61" s="24"/>
      <c r="D61" s="23"/>
      <c r="E61" s="26"/>
      <c r="F61" s="26"/>
      <c r="G61" s="26"/>
      <c r="H61" s="24"/>
      <c r="I61" s="87"/>
      <c r="J61" s="73"/>
      <c r="K61" s="74"/>
      <c r="L61" s="80"/>
      <c r="M61" s="4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3"/>
      <c r="B62" s="23"/>
      <c r="C62" s="24"/>
      <c r="D62" s="23"/>
      <c r="E62" s="26"/>
      <c r="F62" s="26"/>
      <c r="G62" s="26"/>
      <c r="H62" s="24"/>
      <c r="I62" s="87"/>
      <c r="J62" s="73"/>
      <c r="K62" s="74"/>
      <c r="L62" s="80"/>
      <c r="M62" s="4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3"/>
      <c r="B63" s="23"/>
      <c r="C63" s="24"/>
      <c r="D63" s="23"/>
      <c r="E63" s="26"/>
      <c r="F63" s="26"/>
      <c r="G63" s="26"/>
      <c r="H63" s="24"/>
      <c r="I63" s="87"/>
      <c r="J63" s="73"/>
      <c r="K63" s="74"/>
      <c r="L63" s="80"/>
      <c r="M63" s="4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3"/>
      <c r="B64" s="23"/>
      <c r="C64" s="24"/>
      <c r="D64" s="23"/>
      <c r="E64" s="26"/>
      <c r="F64" s="26"/>
      <c r="G64" s="26"/>
      <c r="H64" s="24"/>
      <c r="I64" s="87"/>
      <c r="J64" s="73"/>
      <c r="K64" s="74"/>
      <c r="L64" s="80"/>
      <c r="M64" s="4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3"/>
      <c r="B65" s="23"/>
      <c r="C65" s="24"/>
      <c r="D65" s="23"/>
      <c r="E65" s="26"/>
      <c r="F65" s="26"/>
      <c r="G65" s="26"/>
      <c r="H65" s="24"/>
      <c r="I65" s="87"/>
      <c r="J65" s="73"/>
      <c r="K65" s="74"/>
      <c r="L65" s="80"/>
      <c r="M65" s="4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3"/>
      <c r="B66" s="23"/>
      <c r="C66" s="24"/>
      <c r="D66" s="23"/>
      <c r="E66" s="26"/>
      <c r="F66" s="26"/>
      <c r="G66" s="26"/>
      <c r="H66" s="24"/>
      <c r="I66" s="87"/>
      <c r="J66" s="73"/>
      <c r="K66" s="74"/>
      <c r="L66" s="80"/>
      <c r="M66" s="4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3"/>
      <c r="B67" s="23"/>
      <c r="C67" s="24"/>
      <c r="D67" s="23"/>
      <c r="E67" s="26"/>
      <c r="F67" s="26"/>
      <c r="G67" s="26"/>
      <c r="H67" s="24"/>
      <c r="I67" s="87"/>
      <c r="J67" s="73"/>
      <c r="K67" s="74"/>
      <c r="L67" s="80"/>
      <c r="M67" s="4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3"/>
      <c r="B68" s="23"/>
      <c r="C68" s="24"/>
      <c r="D68" s="23"/>
      <c r="E68" s="26"/>
      <c r="F68" s="26"/>
      <c r="G68" s="26"/>
      <c r="H68" s="24"/>
      <c r="I68" s="87"/>
      <c r="J68" s="73"/>
      <c r="K68" s="74"/>
      <c r="L68" s="80"/>
      <c r="M68" s="4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3"/>
      <c r="B69" s="23"/>
      <c r="C69" s="24"/>
      <c r="D69" s="23"/>
      <c r="E69" s="26"/>
      <c r="F69" s="26"/>
      <c r="G69" s="26"/>
      <c r="H69" s="24"/>
      <c r="I69" s="87"/>
      <c r="J69" s="73"/>
      <c r="K69" s="74"/>
      <c r="L69" s="80"/>
      <c r="M69" s="4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3"/>
      <c r="B70" s="23"/>
      <c r="C70" s="24"/>
      <c r="D70" s="23"/>
      <c r="E70" s="26"/>
      <c r="F70" s="26"/>
      <c r="G70" s="26"/>
      <c r="H70" s="24"/>
      <c r="I70" s="87"/>
      <c r="J70" s="73"/>
      <c r="K70" s="74"/>
      <c r="L70" s="80"/>
      <c r="M70" s="4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3"/>
      <c r="B71" s="23"/>
      <c r="C71" s="24"/>
      <c r="D71" s="23"/>
      <c r="E71" s="26"/>
      <c r="F71" s="26"/>
      <c r="G71" s="26"/>
      <c r="H71" s="24"/>
      <c r="I71" s="87"/>
      <c r="J71" s="73"/>
      <c r="K71" s="74"/>
      <c r="L71" s="80"/>
      <c r="M71" s="4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3"/>
      <c r="B72" s="23"/>
      <c r="C72" s="24"/>
      <c r="D72" s="23"/>
      <c r="E72" s="26"/>
      <c r="F72" s="26"/>
      <c r="G72" s="26"/>
      <c r="H72" s="24"/>
      <c r="I72" s="87"/>
      <c r="J72" s="73"/>
      <c r="K72" s="74"/>
      <c r="L72" s="80"/>
      <c r="M72" s="4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3"/>
      <c r="B73" s="23"/>
      <c r="C73" s="24"/>
      <c r="D73" s="23"/>
      <c r="E73" s="26"/>
      <c r="F73" s="26"/>
      <c r="G73" s="26"/>
      <c r="H73" s="24"/>
      <c r="I73" s="87"/>
      <c r="J73" s="88"/>
      <c r="K73" s="89"/>
      <c r="L73" s="90"/>
      <c r="M73" s="35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3"/>
      <c r="B74" s="23"/>
      <c r="C74" s="24"/>
      <c r="D74" s="23"/>
      <c r="E74" s="26"/>
      <c r="F74" s="26"/>
      <c r="G74" s="26"/>
      <c r="H74" s="24"/>
      <c r="I74" s="87"/>
      <c r="J74" s="73"/>
      <c r="K74" s="74"/>
      <c r="L74" s="80"/>
      <c r="M74" s="4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3"/>
      <c r="B75" s="23"/>
      <c r="C75" s="24"/>
      <c r="D75" s="23"/>
      <c r="E75" s="26"/>
      <c r="F75" s="26"/>
      <c r="G75" s="26"/>
      <c r="H75" s="24"/>
      <c r="I75" s="87"/>
      <c r="J75" s="73"/>
      <c r="K75" s="74"/>
      <c r="L75" s="80"/>
      <c r="M75" s="4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3"/>
      <c r="B76" s="23"/>
      <c r="C76" s="24"/>
      <c r="D76" s="23"/>
      <c r="E76" s="26"/>
      <c r="F76" s="26"/>
      <c r="G76" s="26"/>
      <c r="H76" s="24"/>
      <c r="I76" s="87"/>
      <c r="J76" s="73"/>
      <c r="K76" s="74"/>
      <c r="L76" s="80"/>
      <c r="M76" s="4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3"/>
      <c r="B77" s="23"/>
      <c r="C77" s="24"/>
      <c r="D77" s="23"/>
      <c r="E77" s="26"/>
      <c r="F77" s="26"/>
      <c r="G77" s="26"/>
      <c r="H77" s="24"/>
      <c r="I77" s="87"/>
      <c r="J77" s="73"/>
      <c r="K77" s="74"/>
      <c r="L77" s="80"/>
      <c r="M77" s="4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3"/>
      <c r="B78" s="23"/>
      <c r="C78" s="24"/>
      <c r="D78" s="23"/>
      <c r="E78" s="26"/>
      <c r="F78" s="26"/>
      <c r="G78" s="26"/>
      <c r="H78" s="24"/>
      <c r="I78" s="87"/>
      <c r="J78" s="73"/>
      <c r="K78" s="74"/>
      <c r="L78" s="80"/>
      <c r="M78" s="4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3"/>
      <c r="B79" s="23"/>
      <c r="C79" s="24"/>
      <c r="D79" s="23"/>
      <c r="E79" s="26"/>
      <c r="F79" s="26"/>
      <c r="G79" s="26"/>
      <c r="H79" s="24"/>
      <c r="I79" s="87"/>
      <c r="J79" s="73"/>
      <c r="K79" s="74"/>
      <c r="L79" s="80"/>
      <c r="M79" s="4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3"/>
      <c r="B80" s="23"/>
      <c r="C80" s="24"/>
      <c r="D80" s="23"/>
      <c r="E80" s="26"/>
      <c r="F80" s="26"/>
      <c r="G80" s="26"/>
      <c r="H80" s="24"/>
      <c r="I80" s="87"/>
      <c r="J80" s="88"/>
      <c r="K80" s="89"/>
      <c r="L80" s="90"/>
      <c r="M80" s="35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3"/>
      <c r="B81" s="23"/>
      <c r="C81" s="24"/>
      <c r="D81" s="23"/>
      <c r="E81" s="26"/>
      <c r="F81" s="26"/>
      <c r="G81" s="26"/>
      <c r="H81" s="24"/>
      <c r="I81" s="87"/>
      <c r="J81" s="73"/>
      <c r="K81" s="74"/>
      <c r="L81" s="80"/>
      <c r="M81" s="4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3"/>
      <c r="B82" s="23"/>
      <c r="C82" s="24"/>
      <c r="D82" s="23"/>
      <c r="E82" s="26"/>
      <c r="F82" s="26"/>
      <c r="G82" s="26"/>
      <c r="H82" s="24"/>
      <c r="I82" s="87"/>
      <c r="J82" s="73"/>
      <c r="K82" s="74"/>
      <c r="L82" s="80"/>
      <c r="M82" s="4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3"/>
      <c r="B83" s="23"/>
      <c r="C83" s="24"/>
      <c r="D83" s="23"/>
      <c r="E83" s="26"/>
      <c r="F83" s="26"/>
      <c r="G83" s="26"/>
      <c r="H83" s="24"/>
      <c r="I83" s="87"/>
      <c r="J83" s="88"/>
      <c r="K83" s="89"/>
      <c r="L83" s="90"/>
      <c r="M83" s="35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3"/>
      <c r="B84" s="23"/>
      <c r="C84" s="24"/>
      <c r="D84" s="23"/>
      <c r="E84" s="26"/>
      <c r="F84" s="26"/>
      <c r="G84" s="26"/>
      <c r="H84" s="24"/>
      <c r="I84" s="87"/>
      <c r="J84" s="88"/>
      <c r="K84" s="89"/>
      <c r="L84" s="90"/>
      <c r="M84" s="35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3"/>
      <c r="B85" s="23"/>
      <c r="C85" s="24"/>
      <c r="D85" s="23"/>
      <c r="E85" s="26"/>
      <c r="F85" s="26"/>
      <c r="G85" s="26"/>
      <c r="H85" s="24"/>
      <c r="I85" s="87"/>
      <c r="J85" s="88"/>
      <c r="K85" s="89"/>
      <c r="L85" s="90"/>
      <c r="M85" s="35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3"/>
      <c r="B86" s="23"/>
      <c r="C86" s="24"/>
      <c r="D86" s="23"/>
      <c r="E86" s="26"/>
      <c r="F86" s="26"/>
      <c r="G86" s="26"/>
      <c r="H86" s="24"/>
      <c r="I86" s="87"/>
      <c r="J86" s="88"/>
      <c r="K86" s="89"/>
      <c r="L86" s="90"/>
      <c r="M86" s="35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3"/>
      <c r="B87" s="23"/>
      <c r="C87" s="24"/>
      <c r="D87" s="23"/>
      <c r="E87" s="26"/>
      <c r="F87" s="26"/>
      <c r="G87" s="26"/>
      <c r="H87" s="24"/>
      <c r="I87" s="87"/>
      <c r="J87" s="88"/>
      <c r="K87" s="89"/>
      <c r="L87" s="90"/>
      <c r="M87" s="35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3"/>
      <c r="B88" s="23"/>
      <c r="C88" s="24"/>
      <c r="D88" s="23"/>
      <c r="E88" s="26"/>
      <c r="F88" s="26"/>
      <c r="G88" s="26"/>
      <c r="H88" s="24"/>
      <c r="I88" s="87"/>
      <c r="J88" s="88"/>
      <c r="K88" s="89"/>
      <c r="L88" s="90"/>
      <c r="M88" s="35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3"/>
      <c r="B89" s="23"/>
      <c r="C89" s="24"/>
      <c r="D89" s="23"/>
      <c r="E89" s="26"/>
      <c r="F89" s="26"/>
      <c r="G89" s="26"/>
      <c r="H89" s="24"/>
      <c r="I89" s="87"/>
      <c r="J89" s="88"/>
      <c r="K89" s="89"/>
      <c r="L89" s="90"/>
      <c r="M89" s="35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3"/>
      <c r="B90" s="23"/>
      <c r="C90" s="24"/>
      <c r="D90" s="23"/>
      <c r="E90" s="26"/>
      <c r="F90" s="26"/>
      <c r="G90" s="26"/>
      <c r="H90" s="24"/>
      <c r="I90" s="87"/>
      <c r="J90" s="88"/>
      <c r="K90" s="89"/>
      <c r="L90" s="90"/>
      <c r="M90" s="35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3"/>
      <c r="B91" s="23"/>
      <c r="C91" s="24"/>
      <c r="D91" s="23"/>
      <c r="E91" s="26"/>
      <c r="F91" s="26"/>
      <c r="G91" s="26"/>
      <c r="H91" s="24"/>
      <c r="I91" s="87"/>
      <c r="J91" s="88"/>
      <c r="K91" s="89"/>
      <c r="L91" s="90"/>
      <c r="M91" s="35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3"/>
      <c r="B92" s="23"/>
      <c r="C92" s="24"/>
      <c r="D92" s="23"/>
      <c r="E92" s="26"/>
      <c r="F92" s="26"/>
      <c r="G92" s="26"/>
      <c r="H92" s="24"/>
      <c r="I92" s="87"/>
      <c r="J92" s="88"/>
      <c r="K92" s="89"/>
      <c r="L92" s="90"/>
      <c r="M92" s="35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3"/>
      <c r="B93" s="23"/>
      <c r="C93" s="24"/>
      <c r="D93" s="23"/>
      <c r="E93" s="26"/>
      <c r="F93" s="26"/>
      <c r="G93" s="26"/>
      <c r="H93" s="24"/>
      <c r="I93" s="87"/>
      <c r="J93" s="88"/>
      <c r="K93" s="89"/>
      <c r="L93" s="90"/>
      <c r="M93" s="35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3"/>
      <c r="B94" s="23"/>
      <c r="C94" s="24"/>
      <c r="D94" s="23"/>
      <c r="E94" s="26"/>
      <c r="F94" s="26"/>
      <c r="G94" s="26"/>
      <c r="H94" s="24"/>
      <c r="I94" s="87"/>
      <c r="J94" s="88"/>
      <c r="K94" s="89"/>
      <c r="L94" s="90"/>
      <c r="M94" s="35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3"/>
      <c r="B95" s="23"/>
      <c r="C95" s="24"/>
      <c r="D95" s="23"/>
      <c r="E95" s="26"/>
      <c r="F95" s="26"/>
      <c r="G95" s="26"/>
      <c r="H95" s="24"/>
      <c r="I95" s="87"/>
      <c r="J95" s="88"/>
      <c r="K95" s="89"/>
      <c r="L95" s="90"/>
      <c r="M95" s="35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2"/>
      <c r="B96" s="1"/>
      <c r="C96" s="43"/>
      <c r="D96" s="44"/>
      <c r="E96" s="45"/>
      <c r="F96" s="2"/>
      <c r="G96" s="2"/>
      <c r="H96" s="2"/>
      <c r="I96" s="91"/>
      <c r="J96" s="92"/>
      <c r="K96" s="89"/>
      <c r="L96" s="90"/>
      <c r="M96" s="35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/>
      <c r="B97" s="1"/>
      <c r="C97" s="48"/>
      <c r="D97" s="49"/>
      <c r="E97" s="50"/>
      <c r="F97" s="2"/>
      <c r="G97" s="2"/>
      <c r="H97" s="2"/>
      <c r="I97" s="91"/>
      <c r="J97" s="91"/>
      <c r="K97" s="91"/>
      <c r="L97" s="91"/>
      <c r="M97" s="51">
        <f>SUM(M7:M96)</f>
        <v>500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/>
      <c r="B98" s="52"/>
      <c r="C98" s="43"/>
      <c r="D98" s="2"/>
      <c r="E98" s="2"/>
      <c r="F98" s="2"/>
      <c r="G98" s="2"/>
      <c r="H98" s="2"/>
      <c r="I98" s="91"/>
      <c r="J98" s="91"/>
      <c r="K98" s="91"/>
      <c r="L98" s="9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43"/>
      <c r="D99" s="2"/>
      <c r="E99" s="2"/>
      <c r="F99" s="2"/>
      <c r="G99" s="2"/>
      <c r="H99" s="2"/>
      <c r="I99" s="93"/>
      <c r="J99" s="91"/>
      <c r="K99" s="91"/>
      <c r="L99" s="9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2"/>
      <c r="D100" s="2"/>
      <c r="E100" s="2"/>
      <c r="F100" s="2"/>
      <c r="G100" s="2"/>
      <c r="H100" s="2"/>
      <c r="I100" s="91"/>
      <c r="J100" s="93"/>
      <c r="K100" s="93"/>
      <c r="L100" s="93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2"/>
      <c r="D101" s="2"/>
      <c r="E101" s="2"/>
      <c r="F101" s="2"/>
      <c r="G101" s="2"/>
      <c r="H101" s="2"/>
      <c r="I101" s="91"/>
      <c r="J101" s="91"/>
      <c r="K101" s="91"/>
      <c r="L101" s="9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2"/>
      <c r="D102" s="2"/>
      <c r="E102" s="2"/>
      <c r="F102" s="2"/>
      <c r="G102" s="2"/>
      <c r="H102" s="2"/>
      <c r="I102" s="91"/>
      <c r="J102" s="91"/>
      <c r="K102" s="91"/>
      <c r="L102" s="9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2"/>
      <c r="D103" s="2"/>
      <c r="E103" s="2"/>
      <c r="F103" s="2"/>
      <c r="G103" s="2"/>
      <c r="H103" s="2"/>
      <c r="I103" s="91"/>
      <c r="J103" s="91"/>
      <c r="K103" s="91"/>
      <c r="L103" s="9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2"/>
      <c r="D104" s="2"/>
      <c r="E104" s="2"/>
      <c r="F104" s="2"/>
      <c r="G104" s="2"/>
      <c r="H104" s="2"/>
      <c r="I104" s="91"/>
      <c r="J104" s="91"/>
      <c r="K104" s="91"/>
      <c r="L104" s="9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2"/>
      <c r="D105" s="2"/>
      <c r="E105" s="2"/>
      <c r="F105" s="2"/>
      <c r="G105" s="2"/>
      <c r="H105" s="2"/>
      <c r="I105" s="17" t="s">
        <v>11</v>
      </c>
      <c r="J105" s="91"/>
      <c r="K105" s="91"/>
      <c r="L105" s="9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2"/>
      <c r="D106" s="2"/>
      <c r="E106" s="2"/>
      <c r="F106" s="2"/>
      <c r="G106" s="2"/>
      <c r="H106" s="2"/>
      <c r="I106" s="54">
        <f>SUM(I7:I96)</f>
        <v>0</v>
      </c>
      <c r="J106" s="55" t="s">
        <v>12</v>
      </c>
      <c r="K106" s="94"/>
      <c r="L106" s="95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2"/>
      <c r="D107" s="2"/>
      <c r="E107" s="2"/>
      <c r="F107" s="2"/>
      <c r="G107" s="2"/>
      <c r="H107" s="2"/>
      <c r="I107" s="58">
        <f>SUM(I106*2%)</f>
        <v>0</v>
      </c>
      <c r="J107" s="59">
        <f>SUM(J7:J96)</f>
        <v>550</v>
      </c>
      <c r="K107" s="60" t="s">
        <v>18</v>
      </c>
      <c r="L107" s="95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54">
        <f>SUM(J107*2%)</f>
        <v>11</v>
      </c>
      <c r="K108" s="54">
        <f>SUM(K7:K96)</f>
        <v>300</v>
      </c>
      <c r="L108" s="62" t="s">
        <v>14</v>
      </c>
      <c r="M108" s="3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63"/>
      <c r="K109" s="58">
        <f>SUM(K108*2%)</f>
        <v>6</v>
      </c>
      <c r="L109" s="64">
        <f>SUM(L8:L97)</f>
        <v>0</v>
      </c>
      <c r="M109" s="65" t="s">
        <v>19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58">
        <f>SUM(L109*2%)</f>
        <v>0</v>
      </c>
      <c r="M110" s="66">
        <f>SUM(M97)</f>
        <v>500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4">
    <mergeCell ref="A2:O2"/>
    <mergeCell ref="A3:O3"/>
    <mergeCell ref="A4:O5"/>
    <mergeCell ref="N8:O8"/>
  </mergeCells>
  <dataValidations>
    <dataValidation type="list" allowBlank="1" showErrorMessage="1" sqref="H8:H9">
      <formula1>"Vinicius,Kaua,Caio,Julia,Jhonatas,Diogo,Caio Ferreira,Pamelah,Caio Alves,Camila,Wiliam ,Gabriel ,Fernanda,Kaua Pessoni,Gabriel Batista,Gustavo Pereira,Demetrio ,Caio Vinicius,Wesley,Miriã"</formula1>
    </dataValidation>
    <dataValidation type="list" allowBlank="1" showErrorMessage="1" sqref="A7:A95">
      <formula1>"Pix,Cartão,Pacote ,Pago "</formula1>
    </dataValidation>
    <dataValidation type="list" allowBlank="1" showErrorMessage="1" sqref="D7:D95">
      <formula1>"White board,Cartoon ,3D ,3D personalizado,3D Premium,VSL,Logo,Post,Influencer Pamela,Influencer João B.,3D Estatico ,3D Realista,Edição audio,Pov,Flow,Personalização,Explainer"</formula1>
    </dataValidation>
    <dataValidation type="list" allowBlank="1" showErrorMessage="1" sqref="H7 C7:C95 H10:H95">
      <formula1>"Vinicius,Kaua,Caio,Julia,Jhonatas,Diogo,Caio Ferreira,Pamelah,Caio Alves,Camila,Wiliam ,Gabriel ,Fernanda,Kaua Pessoni,Gabriel Batista,Gustavo Pereira,Demetrio ,Caio Vinicius,Wesley"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4" max="4" width="18.88"/>
    <col customWidth="1" min="5" max="5" width="22.88"/>
    <col customWidth="1" min="6" max="6" width="15.63"/>
  </cols>
  <sheetData>
    <row r="1">
      <c r="A1" s="1"/>
      <c r="B1" s="1"/>
      <c r="C1" s="2"/>
      <c r="D1" s="2"/>
      <c r="E1" s="2"/>
      <c r="F1" s="2"/>
      <c r="G1" s="2"/>
      <c r="H1" s="2"/>
      <c r="I1" s="67"/>
      <c r="J1" s="67"/>
      <c r="K1" s="3"/>
      <c r="L1" s="67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7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4" t="s">
        <v>3</v>
      </c>
      <c r="B6" s="15" t="s">
        <v>4</v>
      </c>
      <c r="C6" s="15" t="s">
        <v>5</v>
      </c>
      <c r="D6" s="15" t="s">
        <v>6</v>
      </c>
      <c r="E6" s="15" t="s">
        <v>7</v>
      </c>
      <c r="F6" s="16" t="s">
        <v>8</v>
      </c>
      <c r="G6" s="14" t="s">
        <v>9</v>
      </c>
      <c r="H6" s="14" t="s">
        <v>10</v>
      </c>
      <c r="I6" s="17" t="s">
        <v>11</v>
      </c>
      <c r="J6" s="18" t="s">
        <v>12</v>
      </c>
      <c r="K6" s="19" t="s">
        <v>13</v>
      </c>
      <c r="L6" s="20" t="s">
        <v>14</v>
      </c>
      <c r="M6" s="21" t="s">
        <v>15</v>
      </c>
      <c r="N6" s="2"/>
      <c r="O6" s="2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68" t="s">
        <v>20</v>
      </c>
      <c r="B7" s="23"/>
      <c r="C7" s="24"/>
      <c r="D7" s="68" t="s">
        <v>53</v>
      </c>
      <c r="E7" s="77" t="s">
        <v>117</v>
      </c>
      <c r="F7" s="25"/>
      <c r="G7" s="78" t="s">
        <v>118</v>
      </c>
      <c r="H7" s="24"/>
      <c r="I7" s="72"/>
      <c r="J7" s="79">
        <v>294.0</v>
      </c>
      <c r="K7" s="30"/>
      <c r="L7" s="80"/>
      <c r="M7" s="27">
        <v>100.0</v>
      </c>
      <c r="N7" s="2"/>
      <c r="O7" s="22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3"/>
      <c r="B8" s="23"/>
      <c r="C8" s="24"/>
      <c r="D8" s="68" t="s">
        <v>24</v>
      </c>
      <c r="E8" s="77" t="s">
        <v>119</v>
      </c>
      <c r="F8" s="26"/>
      <c r="G8" s="106">
        <v>4.791038701E9</v>
      </c>
      <c r="H8" s="24"/>
      <c r="I8" s="72"/>
      <c r="J8" s="73"/>
      <c r="K8" s="30"/>
      <c r="L8" s="75" t="s">
        <v>109</v>
      </c>
      <c r="M8" s="27" t="s">
        <v>58</v>
      </c>
      <c r="N8" s="33" t="s">
        <v>16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8" t="s">
        <v>20</v>
      </c>
      <c r="B9" s="23"/>
      <c r="C9" s="24"/>
      <c r="D9" s="68" t="s">
        <v>40</v>
      </c>
      <c r="E9" s="77" t="s">
        <v>120</v>
      </c>
      <c r="F9" s="26"/>
      <c r="G9" s="78" t="s">
        <v>121</v>
      </c>
      <c r="H9" s="24"/>
      <c r="I9" s="72"/>
      <c r="J9" s="79">
        <v>150.0</v>
      </c>
      <c r="K9" s="30"/>
      <c r="L9" s="80"/>
      <c r="M9" s="84">
        <v>150.0</v>
      </c>
      <c r="N9" s="17" t="s">
        <v>11</v>
      </c>
      <c r="O9" s="34">
        <f>SUM(I6:I95)</f>
        <v>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3"/>
      <c r="B10" s="23"/>
      <c r="C10" s="24"/>
      <c r="D10" s="68" t="s">
        <v>122</v>
      </c>
      <c r="E10" s="117" t="s">
        <v>123</v>
      </c>
      <c r="F10" s="26"/>
      <c r="G10" s="78" t="s">
        <v>124</v>
      </c>
      <c r="H10" s="24"/>
      <c r="I10" s="72"/>
      <c r="J10" s="73"/>
      <c r="K10" s="30"/>
      <c r="L10" s="75">
        <v>100.0</v>
      </c>
      <c r="M10" s="84">
        <v>100.0</v>
      </c>
      <c r="N10" s="18" t="s">
        <v>12</v>
      </c>
      <c r="O10" s="34">
        <f>SUM(J7:J95)</f>
        <v>444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68" t="s">
        <v>20</v>
      </c>
      <c r="B11" s="23"/>
      <c r="C11" s="24"/>
      <c r="D11" s="68" t="s">
        <v>125</v>
      </c>
      <c r="E11" s="118" t="s">
        <v>126</v>
      </c>
      <c r="F11" s="26"/>
      <c r="G11" s="78" t="s">
        <v>127</v>
      </c>
      <c r="H11" s="24"/>
      <c r="I11" s="72"/>
      <c r="J11" s="73"/>
      <c r="K11" s="119">
        <v>890.0</v>
      </c>
      <c r="L11" s="80"/>
      <c r="M11" s="84">
        <v>890.0</v>
      </c>
      <c r="N11" s="19" t="s">
        <v>13</v>
      </c>
      <c r="O11" s="34">
        <f>SUM(K7:K96)</f>
        <v>1190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3"/>
      <c r="B12" s="23"/>
      <c r="C12" s="24"/>
      <c r="D12" s="68" t="s">
        <v>24</v>
      </c>
      <c r="E12" s="77" t="s">
        <v>128</v>
      </c>
      <c r="F12" s="26"/>
      <c r="G12" s="106">
        <v>4.791038701E9</v>
      </c>
      <c r="H12" s="24"/>
      <c r="I12" s="72"/>
      <c r="J12" s="73"/>
      <c r="K12" s="30"/>
      <c r="L12" s="75" t="s">
        <v>109</v>
      </c>
      <c r="M12" s="27" t="s">
        <v>58</v>
      </c>
      <c r="N12" s="20" t="s">
        <v>14</v>
      </c>
      <c r="O12" s="34">
        <f>SUM(L7:L96)</f>
        <v>100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68"/>
      <c r="B13" s="23"/>
      <c r="C13" s="82" t="s">
        <v>29</v>
      </c>
      <c r="D13" s="68" t="s">
        <v>24</v>
      </c>
      <c r="E13" s="77" t="s">
        <v>129</v>
      </c>
      <c r="F13" s="26"/>
      <c r="G13" s="78" t="s">
        <v>127</v>
      </c>
      <c r="H13" s="24"/>
      <c r="I13" s="72"/>
      <c r="J13" s="73"/>
      <c r="K13" s="119">
        <v>300.0</v>
      </c>
      <c r="L13" s="80"/>
      <c r="M13" s="100">
        <v>100.0</v>
      </c>
      <c r="N13" s="36" t="s">
        <v>17</v>
      </c>
      <c r="O13" s="37">
        <f>SUM(N8:O12)</f>
        <v>1734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3"/>
      <c r="B14" s="23"/>
      <c r="C14" s="24"/>
      <c r="D14" s="68" t="s">
        <v>130</v>
      </c>
      <c r="E14" s="77" t="s">
        <v>131</v>
      </c>
      <c r="F14" s="26"/>
      <c r="G14" s="106">
        <v>4.791038701E9</v>
      </c>
      <c r="H14" s="24"/>
      <c r="I14" s="72"/>
      <c r="J14" s="73"/>
      <c r="K14" s="30"/>
      <c r="L14" s="75" t="s">
        <v>109</v>
      </c>
      <c r="M14" s="100" t="s">
        <v>58</v>
      </c>
      <c r="N14" s="2"/>
      <c r="O14" s="2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68" t="s">
        <v>20</v>
      </c>
      <c r="B15" s="23"/>
      <c r="C15" s="82" t="s">
        <v>36</v>
      </c>
      <c r="D15" s="68" t="s">
        <v>40</v>
      </c>
      <c r="E15" s="77" t="s">
        <v>132</v>
      </c>
      <c r="F15" s="26"/>
      <c r="G15" s="78" t="s">
        <v>127</v>
      </c>
      <c r="H15" s="24"/>
      <c r="I15" s="72"/>
      <c r="J15" s="73"/>
      <c r="K15" s="119" t="s">
        <v>109</v>
      </c>
      <c r="L15" s="80"/>
      <c r="M15" s="100" t="s">
        <v>58</v>
      </c>
      <c r="N15" s="2"/>
      <c r="O15" s="2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3"/>
      <c r="B16" s="23"/>
      <c r="C16" s="24"/>
      <c r="D16" s="23"/>
      <c r="E16" s="26"/>
      <c r="F16" s="26"/>
      <c r="G16" s="26"/>
      <c r="H16" s="24"/>
      <c r="I16" s="72"/>
      <c r="J16" s="73"/>
      <c r="K16" s="30"/>
      <c r="L16" s="80"/>
      <c r="M16" s="35"/>
      <c r="N16" s="2"/>
      <c r="O16" s="2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3"/>
      <c r="B17" s="23"/>
      <c r="C17" s="24"/>
      <c r="D17" s="23"/>
      <c r="E17" s="26"/>
      <c r="F17" s="26"/>
      <c r="G17" s="26"/>
      <c r="H17" s="24"/>
      <c r="I17" s="72"/>
      <c r="J17" s="73"/>
      <c r="K17" s="30"/>
      <c r="L17" s="80"/>
      <c r="M17" s="35"/>
      <c r="N17" s="2"/>
      <c r="O17" s="2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3"/>
      <c r="B18" s="23"/>
      <c r="C18" s="24"/>
      <c r="D18" s="23"/>
      <c r="E18" s="26"/>
      <c r="F18" s="26"/>
      <c r="G18" s="26"/>
      <c r="H18" s="24"/>
      <c r="I18" s="72"/>
      <c r="J18" s="73"/>
      <c r="K18" s="30"/>
      <c r="L18" s="80"/>
      <c r="M18" s="35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3"/>
      <c r="B19" s="23"/>
      <c r="C19" s="24"/>
      <c r="D19" s="23"/>
      <c r="E19" s="26"/>
      <c r="F19" s="26"/>
      <c r="G19" s="26"/>
      <c r="H19" s="24"/>
      <c r="I19" s="72"/>
      <c r="J19" s="73"/>
      <c r="K19" s="30"/>
      <c r="L19" s="80"/>
      <c r="M19" s="3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3"/>
      <c r="B20" s="23"/>
      <c r="C20" s="24"/>
      <c r="D20" s="23"/>
      <c r="E20" s="26"/>
      <c r="F20" s="26"/>
      <c r="G20" s="26"/>
      <c r="H20" s="24"/>
      <c r="I20" s="72"/>
      <c r="J20" s="73"/>
      <c r="K20" s="30"/>
      <c r="L20" s="80"/>
      <c r="M20" s="3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3"/>
      <c r="B21" s="23"/>
      <c r="C21" s="24"/>
      <c r="D21" s="23"/>
      <c r="E21" s="26"/>
      <c r="F21" s="26"/>
      <c r="G21" s="26"/>
      <c r="H21" s="24"/>
      <c r="I21" s="72"/>
      <c r="J21" s="73"/>
      <c r="K21" s="30"/>
      <c r="L21" s="80"/>
      <c r="M21" s="3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3"/>
      <c r="B22" s="23"/>
      <c r="C22" s="24"/>
      <c r="D22" s="23"/>
      <c r="E22" s="26"/>
      <c r="F22" s="26"/>
      <c r="G22" s="26"/>
      <c r="H22" s="24"/>
      <c r="I22" s="72"/>
      <c r="J22" s="73"/>
      <c r="K22" s="30"/>
      <c r="L22" s="80"/>
      <c r="M22" s="3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3"/>
      <c r="B23" s="23"/>
      <c r="C23" s="24"/>
      <c r="D23" s="23"/>
      <c r="E23" s="26"/>
      <c r="F23" s="26"/>
      <c r="G23" s="26"/>
      <c r="H23" s="24"/>
      <c r="I23" s="72"/>
      <c r="J23" s="73"/>
      <c r="K23" s="30"/>
      <c r="L23" s="80"/>
      <c r="M23" s="3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3"/>
      <c r="B24" s="23"/>
      <c r="C24" s="24"/>
      <c r="D24" s="23"/>
      <c r="E24" s="26"/>
      <c r="F24" s="26"/>
      <c r="G24" s="26"/>
      <c r="H24" s="24"/>
      <c r="I24" s="87"/>
      <c r="J24" s="88"/>
      <c r="K24" s="40"/>
      <c r="L24" s="90"/>
      <c r="M24" s="3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3"/>
      <c r="B25" s="23"/>
      <c r="C25" s="24"/>
      <c r="D25" s="23"/>
      <c r="E25" s="26"/>
      <c r="F25" s="26"/>
      <c r="G25" s="26"/>
      <c r="H25" s="24"/>
      <c r="I25" s="87"/>
      <c r="J25" s="88"/>
      <c r="K25" s="40"/>
      <c r="L25" s="90"/>
      <c r="M25" s="3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3"/>
      <c r="B26" s="23"/>
      <c r="C26" s="24"/>
      <c r="D26" s="23"/>
      <c r="E26" s="26"/>
      <c r="F26" s="26"/>
      <c r="G26" s="26"/>
      <c r="H26" s="24"/>
      <c r="I26" s="87"/>
      <c r="J26" s="88"/>
      <c r="K26" s="40"/>
      <c r="L26" s="90"/>
      <c r="M26" s="3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3"/>
      <c r="B27" s="23"/>
      <c r="C27" s="24"/>
      <c r="D27" s="23"/>
      <c r="E27" s="26"/>
      <c r="F27" s="26"/>
      <c r="G27" s="26"/>
      <c r="H27" s="24"/>
      <c r="I27" s="87"/>
      <c r="J27" s="88"/>
      <c r="K27" s="40"/>
      <c r="L27" s="90"/>
      <c r="M27" s="3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3"/>
      <c r="B28" s="23"/>
      <c r="C28" s="24"/>
      <c r="D28" s="23"/>
      <c r="E28" s="26"/>
      <c r="F28" s="26"/>
      <c r="G28" s="26"/>
      <c r="H28" s="24"/>
      <c r="I28" s="87"/>
      <c r="J28" s="88"/>
      <c r="K28" s="40"/>
      <c r="L28" s="90"/>
      <c r="M28" s="35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3"/>
      <c r="B29" s="23"/>
      <c r="C29" s="24"/>
      <c r="D29" s="23"/>
      <c r="E29" s="26"/>
      <c r="F29" s="26"/>
      <c r="G29" s="26"/>
      <c r="H29" s="24"/>
      <c r="I29" s="87"/>
      <c r="J29" s="88"/>
      <c r="K29" s="40"/>
      <c r="L29" s="90"/>
      <c r="M29" s="3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3"/>
      <c r="B30" s="23"/>
      <c r="C30" s="24"/>
      <c r="D30" s="23"/>
      <c r="E30" s="26"/>
      <c r="F30" s="26"/>
      <c r="G30" s="26"/>
      <c r="H30" s="24"/>
      <c r="I30" s="87"/>
      <c r="J30" s="88"/>
      <c r="K30" s="40"/>
      <c r="L30" s="90"/>
      <c r="M30" s="3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3"/>
      <c r="B31" s="23"/>
      <c r="C31" s="24"/>
      <c r="D31" s="23"/>
      <c r="E31" s="26"/>
      <c r="F31" s="26"/>
      <c r="G31" s="26"/>
      <c r="H31" s="24"/>
      <c r="I31" s="87"/>
      <c r="J31" s="88"/>
      <c r="K31" s="40"/>
      <c r="L31" s="90"/>
      <c r="M31" s="3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3"/>
      <c r="B32" s="23"/>
      <c r="C32" s="24"/>
      <c r="D32" s="23"/>
      <c r="E32" s="26"/>
      <c r="F32" s="26"/>
      <c r="G32" s="26"/>
      <c r="H32" s="24"/>
      <c r="I32" s="87"/>
      <c r="J32" s="88"/>
      <c r="K32" s="40"/>
      <c r="L32" s="90"/>
      <c r="M32" s="3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3"/>
      <c r="B33" s="23"/>
      <c r="C33" s="24"/>
      <c r="D33" s="23"/>
      <c r="E33" s="26"/>
      <c r="F33" s="26"/>
      <c r="G33" s="26"/>
      <c r="H33" s="24"/>
      <c r="I33" s="87"/>
      <c r="J33" s="88"/>
      <c r="K33" s="40"/>
      <c r="L33" s="90"/>
      <c r="M33" s="3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3"/>
      <c r="B34" s="23"/>
      <c r="C34" s="24"/>
      <c r="D34" s="23"/>
      <c r="E34" s="26"/>
      <c r="F34" s="26"/>
      <c r="G34" s="26"/>
      <c r="H34" s="24"/>
      <c r="I34" s="87"/>
      <c r="J34" s="88"/>
      <c r="K34" s="40"/>
      <c r="L34" s="90"/>
      <c r="M34" s="3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3"/>
      <c r="B35" s="23"/>
      <c r="C35" s="24"/>
      <c r="D35" s="23"/>
      <c r="E35" s="26"/>
      <c r="F35" s="26"/>
      <c r="G35" s="26"/>
      <c r="H35" s="24"/>
      <c r="I35" s="87"/>
      <c r="J35" s="88"/>
      <c r="K35" s="40"/>
      <c r="L35" s="90"/>
      <c r="M35" s="3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3"/>
      <c r="B36" s="23"/>
      <c r="C36" s="24"/>
      <c r="D36" s="23"/>
      <c r="E36" s="26"/>
      <c r="F36" s="26"/>
      <c r="G36" s="26"/>
      <c r="H36" s="24"/>
      <c r="I36" s="87"/>
      <c r="J36" s="73"/>
      <c r="K36" s="30"/>
      <c r="L36" s="80"/>
      <c r="M36" s="4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3"/>
      <c r="B37" s="23"/>
      <c r="C37" s="24"/>
      <c r="D37" s="23"/>
      <c r="E37" s="26"/>
      <c r="F37" s="26"/>
      <c r="G37" s="26"/>
      <c r="H37" s="24"/>
      <c r="I37" s="87"/>
      <c r="J37" s="73"/>
      <c r="K37" s="30"/>
      <c r="L37" s="80"/>
      <c r="M37" s="4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3"/>
      <c r="B38" s="23"/>
      <c r="C38" s="24"/>
      <c r="D38" s="23"/>
      <c r="E38" s="26"/>
      <c r="F38" s="26"/>
      <c r="G38" s="26"/>
      <c r="H38" s="24"/>
      <c r="I38" s="87"/>
      <c r="J38" s="73"/>
      <c r="K38" s="30"/>
      <c r="L38" s="80"/>
      <c r="M38" s="4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3"/>
      <c r="B39" s="23"/>
      <c r="C39" s="24"/>
      <c r="D39" s="23"/>
      <c r="E39" s="26"/>
      <c r="F39" s="26"/>
      <c r="G39" s="26"/>
      <c r="H39" s="24"/>
      <c r="I39" s="87"/>
      <c r="J39" s="73"/>
      <c r="K39" s="30"/>
      <c r="L39" s="80"/>
      <c r="M39" s="4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3"/>
      <c r="B40" s="23"/>
      <c r="C40" s="24"/>
      <c r="D40" s="23"/>
      <c r="E40" s="26"/>
      <c r="F40" s="26"/>
      <c r="G40" s="26"/>
      <c r="H40" s="24"/>
      <c r="I40" s="87"/>
      <c r="J40" s="73"/>
      <c r="K40" s="30"/>
      <c r="L40" s="80"/>
      <c r="M40" s="4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3"/>
      <c r="B41" s="23"/>
      <c r="C41" s="24"/>
      <c r="D41" s="23"/>
      <c r="E41" s="26"/>
      <c r="F41" s="26"/>
      <c r="G41" s="26"/>
      <c r="H41" s="24"/>
      <c r="I41" s="87"/>
      <c r="J41" s="73"/>
      <c r="K41" s="30"/>
      <c r="L41" s="80"/>
      <c r="M41" s="4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3"/>
      <c r="B42" s="23"/>
      <c r="C42" s="24"/>
      <c r="D42" s="23"/>
      <c r="E42" s="35"/>
      <c r="F42" s="35"/>
      <c r="G42" s="35"/>
      <c r="H42" s="24"/>
      <c r="I42" s="87"/>
      <c r="J42" s="73"/>
      <c r="K42" s="30"/>
      <c r="L42" s="80"/>
      <c r="M42" s="4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3"/>
      <c r="B43" s="23"/>
      <c r="C43" s="24"/>
      <c r="D43" s="23"/>
      <c r="E43" s="26"/>
      <c r="F43" s="26"/>
      <c r="G43" s="26"/>
      <c r="H43" s="24"/>
      <c r="I43" s="87"/>
      <c r="J43" s="73"/>
      <c r="K43" s="30"/>
      <c r="L43" s="80"/>
      <c r="M43" s="4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3"/>
      <c r="B44" s="23"/>
      <c r="C44" s="24"/>
      <c r="D44" s="23"/>
      <c r="E44" s="26"/>
      <c r="F44" s="26"/>
      <c r="G44" s="26"/>
      <c r="H44" s="24"/>
      <c r="I44" s="87"/>
      <c r="J44" s="73"/>
      <c r="K44" s="30"/>
      <c r="L44" s="80"/>
      <c r="M44" s="4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3"/>
      <c r="B45" s="23"/>
      <c r="C45" s="24"/>
      <c r="D45" s="23"/>
      <c r="E45" s="26"/>
      <c r="F45" s="26"/>
      <c r="G45" s="26"/>
      <c r="H45" s="24"/>
      <c r="I45" s="87"/>
      <c r="J45" s="73"/>
      <c r="K45" s="30"/>
      <c r="L45" s="80"/>
      <c r="M45" s="4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3"/>
      <c r="B46" s="23"/>
      <c r="C46" s="24"/>
      <c r="D46" s="23"/>
      <c r="E46" s="26"/>
      <c r="F46" s="26"/>
      <c r="G46" s="26"/>
      <c r="H46" s="24"/>
      <c r="I46" s="72"/>
      <c r="J46" s="73"/>
      <c r="K46" s="30"/>
      <c r="L46" s="80"/>
      <c r="M46" s="4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3"/>
      <c r="B47" s="23"/>
      <c r="C47" s="24"/>
      <c r="D47" s="23"/>
      <c r="E47" s="26"/>
      <c r="F47" s="26"/>
      <c r="G47" s="26"/>
      <c r="H47" s="24"/>
      <c r="I47" s="72"/>
      <c r="J47" s="73"/>
      <c r="K47" s="30"/>
      <c r="L47" s="80"/>
      <c r="M47" s="4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3"/>
      <c r="B48" s="23"/>
      <c r="C48" s="24"/>
      <c r="D48" s="23"/>
      <c r="E48" s="26"/>
      <c r="F48" s="26"/>
      <c r="G48" s="26"/>
      <c r="H48" s="24"/>
      <c r="I48" s="72"/>
      <c r="J48" s="73"/>
      <c r="K48" s="30"/>
      <c r="L48" s="80"/>
      <c r="M48" s="4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3"/>
      <c r="B49" s="23"/>
      <c r="C49" s="24"/>
      <c r="D49" s="23"/>
      <c r="E49" s="26"/>
      <c r="F49" s="26"/>
      <c r="G49" s="26"/>
      <c r="H49" s="24"/>
      <c r="I49" s="72"/>
      <c r="J49" s="73"/>
      <c r="K49" s="30"/>
      <c r="L49" s="80"/>
      <c r="M49" s="4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3"/>
      <c r="B50" s="23"/>
      <c r="C50" s="24"/>
      <c r="D50" s="23"/>
      <c r="E50" s="26"/>
      <c r="F50" s="26"/>
      <c r="G50" s="26"/>
      <c r="H50" s="24"/>
      <c r="I50" s="87"/>
      <c r="J50" s="73"/>
      <c r="K50" s="30"/>
      <c r="L50" s="80"/>
      <c r="M50" s="4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3"/>
      <c r="B51" s="23"/>
      <c r="C51" s="24"/>
      <c r="D51" s="23"/>
      <c r="E51" s="26"/>
      <c r="F51" s="26"/>
      <c r="G51" s="26"/>
      <c r="H51" s="24"/>
      <c r="I51" s="87"/>
      <c r="J51" s="73"/>
      <c r="K51" s="30"/>
      <c r="L51" s="80"/>
      <c r="M51" s="4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3"/>
      <c r="B52" s="23"/>
      <c r="C52" s="24"/>
      <c r="D52" s="23"/>
      <c r="E52" s="26"/>
      <c r="F52" s="26"/>
      <c r="G52" s="26"/>
      <c r="H52" s="24"/>
      <c r="I52" s="87"/>
      <c r="J52" s="73"/>
      <c r="K52" s="30"/>
      <c r="L52" s="80"/>
      <c r="M52" s="4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3"/>
      <c r="B53" s="23"/>
      <c r="C53" s="24"/>
      <c r="D53" s="23"/>
      <c r="E53" s="26"/>
      <c r="F53" s="26"/>
      <c r="G53" s="26"/>
      <c r="H53" s="24"/>
      <c r="I53" s="87"/>
      <c r="J53" s="73"/>
      <c r="K53" s="30"/>
      <c r="L53" s="80"/>
      <c r="M53" s="4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3"/>
      <c r="B54" s="23"/>
      <c r="C54" s="24"/>
      <c r="D54" s="23"/>
      <c r="E54" s="26"/>
      <c r="F54" s="26"/>
      <c r="G54" s="26"/>
      <c r="H54" s="24"/>
      <c r="I54" s="87"/>
      <c r="J54" s="73"/>
      <c r="K54" s="30"/>
      <c r="L54" s="80"/>
      <c r="M54" s="4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3"/>
      <c r="B55" s="23"/>
      <c r="C55" s="24"/>
      <c r="D55" s="23"/>
      <c r="E55" s="26"/>
      <c r="F55" s="26"/>
      <c r="G55" s="26"/>
      <c r="H55" s="24"/>
      <c r="I55" s="87"/>
      <c r="J55" s="73"/>
      <c r="K55" s="30"/>
      <c r="L55" s="80"/>
      <c r="M55" s="4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3"/>
      <c r="B56" s="23"/>
      <c r="C56" s="24"/>
      <c r="D56" s="23"/>
      <c r="E56" s="26"/>
      <c r="F56" s="26"/>
      <c r="G56" s="26"/>
      <c r="H56" s="24"/>
      <c r="I56" s="87"/>
      <c r="J56" s="73"/>
      <c r="K56" s="30"/>
      <c r="L56" s="80"/>
      <c r="M56" s="4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3"/>
      <c r="B57" s="23"/>
      <c r="C57" s="24"/>
      <c r="D57" s="23"/>
      <c r="E57" s="26"/>
      <c r="F57" s="26"/>
      <c r="G57" s="26"/>
      <c r="H57" s="24"/>
      <c r="I57" s="87"/>
      <c r="J57" s="88"/>
      <c r="K57" s="40"/>
      <c r="L57" s="90"/>
      <c r="M57" s="35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3"/>
      <c r="B58" s="23"/>
      <c r="C58" s="24"/>
      <c r="D58" s="23"/>
      <c r="E58" s="26"/>
      <c r="F58" s="26"/>
      <c r="G58" s="26"/>
      <c r="H58" s="24"/>
      <c r="I58" s="87"/>
      <c r="J58" s="73"/>
      <c r="K58" s="30"/>
      <c r="L58" s="80"/>
      <c r="M58" s="4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3"/>
      <c r="B59" s="23"/>
      <c r="C59" s="24"/>
      <c r="D59" s="23"/>
      <c r="E59" s="26"/>
      <c r="F59" s="26"/>
      <c r="G59" s="26"/>
      <c r="H59" s="24"/>
      <c r="I59" s="87"/>
      <c r="J59" s="73"/>
      <c r="K59" s="30"/>
      <c r="L59" s="80"/>
      <c r="M59" s="4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3"/>
      <c r="B60" s="23"/>
      <c r="C60" s="24"/>
      <c r="D60" s="23"/>
      <c r="E60" s="26"/>
      <c r="F60" s="26"/>
      <c r="G60" s="26"/>
      <c r="H60" s="24"/>
      <c r="I60" s="87"/>
      <c r="J60" s="73"/>
      <c r="K60" s="30"/>
      <c r="L60" s="80"/>
      <c r="M60" s="4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3"/>
      <c r="B61" s="23"/>
      <c r="C61" s="24"/>
      <c r="D61" s="23"/>
      <c r="E61" s="26"/>
      <c r="F61" s="26"/>
      <c r="G61" s="26"/>
      <c r="H61" s="24"/>
      <c r="I61" s="87"/>
      <c r="J61" s="73"/>
      <c r="K61" s="30"/>
      <c r="L61" s="80"/>
      <c r="M61" s="4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3"/>
      <c r="B62" s="23"/>
      <c r="C62" s="24"/>
      <c r="D62" s="23"/>
      <c r="E62" s="26"/>
      <c r="F62" s="26"/>
      <c r="G62" s="26"/>
      <c r="H62" s="24"/>
      <c r="I62" s="87"/>
      <c r="J62" s="73"/>
      <c r="K62" s="30"/>
      <c r="L62" s="80"/>
      <c r="M62" s="4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3"/>
      <c r="B63" s="23"/>
      <c r="C63" s="24"/>
      <c r="D63" s="23"/>
      <c r="E63" s="26"/>
      <c r="F63" s="26"/>
      <c r="G63" s="26"/>
      <c r="H63" s="24"/>
      <c r="I63" s="87"/>
      <c r="J63" s="73"/>
      <c r="K63" s="30"/>
      <c r="L63" s="80"/>
      <c r="M63" s="4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3"/>
      <c r="B64" s="23"/>
      <c r="C64" s="24"/>
      <c r="D64" s="23"/>
      <c r="E64" s="26"/>
      <c r="F64" s="26"/>
      <c r="G64" s="26"/>
      <c r="H64" s="24"/>
      <c r="I64" s="87"/>
      <c r="J64" s="73"/>
      <c r="K64" s="30"/>
      <c r="L64" s="80"/>
      <c r="M64" s="4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3"/>
      <c r="B65" s="23"/>
      <c r="C65" s="24"/>
      <c r="D65" s="23"/>
      <c r="E65" s="26"/>
      <c r="F65" s="26"/>
      <c r="G65" s="26"/>
      <c r="H65" s="24"/>
      <c r="I65" s="87"/>
      <c r="J65" s="73"/>
      <c r="K65" s="30"/>
      <c r="L65" s="80"/>
      <c r="M65" s="4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3"/>
      <c r="B66" s="23"/>
      <c r="C66" s="24"/>
      <c r="D66" s="23"/>
      <c r="E66" s="26"/>
      <c r="F66" s="26"/>
      <c r="G66" s="26"/>
      <c r="H66" s="24"/>
      <c r="I66" s="87"/>
      <c r="J66" s="73"/>
      <c r="K66" s="30"/>
      <c r="L66" s="80"/>
      <c r="M66" s="4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3"/>
      <c r="B67" s="23"/>
      <c r="C67" s="24"/>
      <c r="D67" s="23"/>
      <c r="E67" s="26"/>
      <c r="F67" s="26"/>
      <c r="G67" s="26"/>
      <c r="H67" s="24"/>
      <c r="I67" s="87"/>
      <c r="J67" s="73"/>
      <c r="K67" s="30"/>
      <c r="L67" s="80"/>
      <c r="M67" s="4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3"/>
      <c r="B68" s="23"/>
      <c r="C68" s="24"/>
      <c r="D68" s="23"/>
      <c r="E68" s="26"/>
      <c r="F68" s="26"/>
      <c r="G68" s="26"/>
      <c r="H68" s="24"/>
      <c r="I68" s="87"/>
      <c r="J68" s="73"/>
      <c r="K68" s="30"/>
      <c r="L68" s="80"/>
      <c r="M68" s="4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3"/>
      <c r="B69" s="23"/>
      <c r="C69" s="24"/>
      <c r="D69" s="23"/>
      <c r="E69" s="26"/>
      <c r="F69" s="26"/>
      <c r="G69" s="26"/>
      <c r="H69" s="24"/>
      <c r="I69" s="87"/>
      <c r="J69" s="73"/>
      <c r="K69" s="30"/>
      <c r="L69" s="80"/>
      <c r="M69" s="4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3"/>
      <c r="B70" s="23"/>
      <c r="C70" s="24"/>
      <c r="D70" s="23"/>
      <c r="E70" s="26"/>
      <c r="F70" s="26"/>
      <c r="G70" s="26"/>
      <c r="H70" s="24"/>
      <c r="I70" s="87"/>
      <c r="J70" s="73"/>
      <c r="K70" s="30"/>
      <c r="L70" s="80"/>
      <c r="M70" s="4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3"/>
      <c r="B71" s="23"/>
      <c r="C71" s="24"/>
      <c r="D71" s="23"/>
      <c r="E71" s="26"/>
      <c r="F71" s="26"/>
      <c r="G71" s="26"/>
      <c r="H71" s="24"/>
      <c r="I71" s="87"/>
      <c r="J71" s="73"/>
      <c r="K71" s="30"/>
      <c r="L71" s="80"/>
      <c r="M71" s="4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3"/>
      <c r="B72" s="23"/>
      <c r="C72" s="24"/>
      <c r="D72" s="23"/>
      <c r="E72" s="26"/>
      <c r="F72" s="26"/>
      <c r="G72" s="26"/>
      <c r="H72" s="24"/>
      <c r="I72" s="87"/>
      <c r="J72" s="73"/>
      <c r="K72" s="30"/>
      <c r="L72" s="80"/>
      <c r="M72" s="4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3"/>
      <c r="B73" s="23"/>
      <c r="C73" s="24"/>
      <c r="D73" s="23"/>
      <c r="E73" s="26"/>
      <c r="F73" s="26"/>
      <c r="G73" s="26"/>
      <c r="H73" s="24"/>
      <c r="I73" s="87"/>
      <c r="J73" s="88"/>
      <c r="K73" s="40"/>
      <c r="L73" s="90"/>
      <c r="M73" s="35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3"/>
      <c r="B74" s="23"/>
      <c r="C74" s="24"/>
      <c r="D74" s="23"/>
      <c r="E74" s="26"/>
      <c r="F74" s="26"/>
      <c r="G74" s="26"/>
      <c r="H74" s="24"/>
      <c r="I74" s="87"/>
      <c r="J74" s="73"/>
      <c r="K74" s="30"/>
      <c r="L74" s="80"/>
      <c r="M74" s="4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3"/>
      <c r="B75" s="23"/>
      <c r="C75" s="24"/>
      <c r="D75" s="23"/>
      <c r="E75" s="26"/>
      <c r="F75" s="26"/>
      <c r="G75" s="26"/>
      <c r="H75" s="24"/>
      <c r="I75" s="87"/>
      <c r="J75" s="73"/>
      <c r="K75" s="30"/>
      <c r="L75" s="80"/>
      <c r="M75" s="4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3"/>
      <c r="B76" s="23"/>
      <c r="C76" s="24"/>
      <c r="D76" s="23"/>
      <c r="E76" s="26"/>
      <c r="F76" s="26"/>
      <c r="G76" s="26"/>
      <c r="H76" s="24"/>
      <c r="I76" s="87"/>
      <c r="J76" s="73"/>
      <c r="K76" s="30"/>
      <c r="L76" s="80"/>
      <c r="M76" s="4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3"/>
      <c r="B77" s="23"/>
      <c r="C77" s="24"/>
      <c r="D77" s="23"/>
      <c r="E77" s="26"/>
      <c r="F77" s="26"/>
      <c r="G77" s="26"/>
      <c r="H77" s="24"/>
      <c r="I77" s="87"/>
      <c r="J77" s="73"/>
      <c r="K77" s="30"/>
      <c r="L77" s="80"/>
      <c r="M77" s="4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3"/>
      <c r="B78" s="23"/>
      <c r="C78" s="24"/>
      <c r="D78" s="23"/>
      <c r="E78" s="26"/>
      <c r="F78" s="26"/>
      <c r="G78" s="26"/>
      <c r="H78" s="24"/>
      <c r="I78" s="87"/>
      <c r="J78" s="73"/>
      <c r="K78" s="30"/>
      <c r="L78" s="80"/>
      <c r="M78" s="4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3"/>
      <c r="B79" s="23"/>
      <c r="C79" s="24"/>
      <c r="D79" s="23"/>
      <c r="E79" s="26"/>
      <c r="F79" s="26"/>
      <c r="G79" s="26"/>
      <c r="H79" s="24"/>
      <c r="I79" s="87"/>
      <c r="J79" s="73"/>
      <c r="K79" s="30"/>
      <c r="L79" s="80"/>
      <c r="M79" s="4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3"/>
      <c r="B80" s="23"/>
      <c r="C80" s="24"/>
      <c r="D80" s="23"/>
      <c r="E80" s="26"/>
      <c r="F80" s="26"/>
      <c r="G80" s="26"/>
      <c r="H80" s="24"/>
      <c r="I80" s="87"/>
      <c r="J80" s="88"/>
      <c r="K80" s="40"/>
      <c r="L80" s="90"/>
      <c r="M80" s="35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3"/>
      <c r="B81" s="23"/>
      <c r="C81" s="24"/>
      <c r="D81" s="23"/>
      <c r="E81" s="26"/>
      <c r="F81" s="26"/>
      <c r="G81" s="26"/>
      <c r="H81" s="24"/>
      <c r="I81" s="87"/>
      <c r="J81" s="73"/>
      <c r="K81" s="30"/>
      <c r="L81" s="80"/>
      <c r="M81" s="4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3"/>
      <c r="B82" s="23"/>
      <c r="C82" s="24"/>
      <c r="D82" s="23"/>
      <c r="E82" s="26"/>
      <c r="F82" s="26"/>
      <c r="G82" s="26"/>
      <c r="H82" s="24"/>
      <c r="I82" s="87"/>
      <c r="J82" s="73"/>
      <c r="K82" s="30"/>
      <c r="L82" s="80"/>
      <c r="M82" s="4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3"/>
      <c r="B83" s="23"/>
      <c r="C83" s="24"/>
      <c r="D83" s="23"/>
      <c r="E83" s="26"/>
      <c r="F83" s="26"/>
      <c r="G83" s="26"/>
      <c r="H83" s="24"/>
      <c r="I83" s="87"/>
      <c r="J83" s="88"/>
      <c r="K83" s="40"/>
      <c r="L83" s="90"/>
      <c r="M83" s="35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3"/>
      <c r="B84" s="23"/>
      <c r="C84" s="24"/>
      <c r="D84" s="23"/>
      <c r="E84" s="26"/>
      <c r="F84" s="26"/>
      <c r="G84" s="26"/>
      <c r="H84" s="24"/>
      <c r="I84" s="87"/>
      <c r="J84" s="88"/>
      <c r="K84" s="40"/>
      <c r="L84" s="90"/>
      <c r="M84" s="35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3"/>
      <c r="B85" s="23"/>
      <c r="C85" s="24"/>
      <c r="D85" s="23"/>
      <c r="E85" s="26"/>
      <c r="F85" s="26"/>
      <c r="G85" s="26"/>
      <c r="H85" s="24"/>
      <c r="I85" s="87"/>
      <c r="J85" s="88"/>
      <c r="K85" s="40"/>
      <c r="L85" s="90"/>
      <c r="M85" s="35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3"/>
      <c r="B86" s="23"/>
      <c r="C86" s="24"/>
      <c r="D86" s="23"/>
      <c r="E86" s="26"/>
      <c r="F86" s="26"/>
      <c r="G86" s="26"/>
      <c r="H86" s="24"/>
      <c r="I86" s="87"/>
      <c r="J86" s="88"/>
      <c r="K86" s="40"/>
      <c r="L86" s="90"/>
      <c r="M86" s="35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3"/>
      <c r="B87" s="23"/>
      <c r="C87" s="24"/>
      <c r="D87" s="23"/>
      <c r="E87" s="26"/>
      <c r="F87" s="26"/>
      <c r="G87" s="26"/>
      <c r="H87" s="24"/>
      <c r="I87" s="87"/>
      <c r="J87" s="88"/>
      <c r="K87" s="40"/>
      <c r="L87" s="90"/>
      <c r="M87" s="35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3"/>
      <c r="B88" s="23"/>
      <c r="C88" s="24"/>
      <c r="D88" s="23"/>
      <c r="E88" s="26"/>
      <c r="F88" s="26"/>
      <c r="G88" s="26"/>
      <c r="H88" s="24"/>
      <c r="I88" s="87"/>
      <c r="J88" s="88"/>
      <c r="K88" s="40"/>
      <c r="L88" s="90"/>
      <c r="M88" s="35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3"/>
      <c r="B89" s="23"/>
      <c r="C89" s="24"/>
      <c r="D89" s="23"/>
      <c r="E89" s="26"/>
      <c r="F89" s="26"/>
      <c r="G89" s="26"/>
      <c r="H89" s="24"/>
      <c r="I89" s="87"/>
      <c r="J89" s="88"/>
      <c r="K89" s="40"/>
      <c r="L89" s="90"/>
      <c r="M89" s="35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3"/>
      <c r="B90" s="23"/>
      <c r="C90" s="24"/>
      <c r="D90" s="23"/>
      <c r="E90" s="26"/>
      <c r="F90" s="26"/>
      <c r="G90" s="26"/>
      <c r="H90" s="24"/>
      <c r="I90" s="87"/>
      <c r="J90" s="88"/>
      <c r="K90" s="40"/>
      <c r="L90" s="90"/>
      <c r="M90" s="35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3"/>
      <c r="B91" s="23"/>
      <c r="C91" s="24"/>
      <c r="D91" s="23"/>
      <c r="E91" s="26"/>
      <c r="F91" s="26"/>
      <c r="G91" s="26"/>
      <c r="H91" s="24"/>
      <c r="I91" s="87"/>
      <c r="J91" s="88"/>
      <c r="K91" s="40"/>
      <c r="L91" s="90"/>
      <c r="M91" s="35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3"/>
      <c r="B92" s="23"/>
      <c r="C92" s="24"/>
      <c r="D92" s="23"/>
      <c r="E92" s="26"/>
      <c r="F92" s="26"/>
      <c r="G92" s="26"/>
      <c r="H92" s="24"/>
      <c r="I92" s="87"/>
      <c r="J92" s="88"/>
      <c r="K92" s="40"/>
      <c r="L92" s="90"/>
      <c r="M92" s="35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3"/>
      <c r="B93" s="23"/>
      <c r="C93" s="24"/>
      <c r="D93" s="23"/>
      <c r="E93" s="26"/>
      <c r="F93" s="26"/>
      <c r="G93" s="26"/>
      <c r="H93" s="24"/>
      <c r="I93" s="87"/>
      <c r="J93" s="88"/>
      <c r="K93" s="40"/>
      <c r="L93" s="90"/>
      <c r="M93" s="35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3"/>
      <c r="B94" s="23"/>
      <c r="C94" s="24"/>
      <c r="D94" s="23"/>
      <c r="E94" s="26"/>
      <c r="F94" s="26"/>
      <c r="G94" s="26"/>
      <c r="H94" s="24"/>
      <c r="I94" s="87"/>
      <c r="J94" s="88"/>
      <c r="K94" s="40"/>
      <c r="L94" s="90"/>
      <c r="M94" s="35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3"/>
      <c r="B95" s="23"/>
      <c r="C95" s="24"/>
      <c r="D95" s="23"/>
      <c r="E95" s="26"/>
      <c r="F95" s="26"/>
      <c r="G95" s="26"/>
      <c r="H95" s="24"/>
      <c r="I95" s="87"/>
      <c r="J95" s="88"/>
      <c r="K95" s="40"/>
      <c r="L95" s="90"/>
      <c r="M95" s="35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2"/>
      <c r="B96" s="1"/>
      <c r="C96" s="43"/>
      <c r="D96" s="44"/>
      <c r="E96" s="45"/>
      <c r="F96" s="2"/>
      <c r="G96" s="2"/>
      <c r="H96" s="2"/>
      <c r="I96" s="91"/>
      <c r="J96" s="92"/>
      <c r="K96" s="40"/>
      <c r="L96" s="90"/>
      <c r="M96" s="35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/>
      <c r="B97" s="1"/>
      <c r="C97" s="48"/>
      <c r="D97" s="49"/>
      <c r="E97" s="50"/>
      <c r="F97" s="2"/>
      <c r="G97" s="2"/>
      <c r="H97" s="2"/>
      <c r="I97" s="91"/>
      <c r="J97" s="91"/>
      <c r="K97" s="46"/>
      <c r="L97" s="91"/>
      <c r="M97" s="51">
        <f>SUM(M7:M96)</f>
        <v>1340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/>
      <c r="B98" s="52"/>
      <c r="C98" s="43"/>
      <c r="D98" s="2"/>
      <c r="E98" s="2"/>
      <c r="F98" s="2"/>
      <c r="G98" s="2"/>
      <c r="H98" s="2"/>
      <c r="I98" s="91"/>
      <c r="J98" s="91"/>
      <c r="K98" s="46"/>
      <c r="L98" s="9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43"/>
      <c r="D99" s="2"/>
      <c r="E99" s="2"/>
      <c r="F99" s="2"/>
      <c r="G99" s="2"/>
      <c r="H99" s="2"/>
      <c r="I99" s="93"/>
      <c r="J99" s="91"/>
      <c r="K99" s="46"/>
      <c r="L99" s="9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2"/>
      <c r="D100" s="2"/>
      <c r="E100" s="2"/>
      <c r="F100" s="2"/>
      <c r="G100" s="2"/>
      <c r="H100" s="2"/>
      <c r="I100" s="91"/>
      <c r="J100" s="93"/>
      <c r="K100" s="53"/>
      <c r="L100" s="93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2"/>
      <c r="D101" s="2"/>
      <c r="E101" s="2"/>
      <c r="F101" s="2"/>
      <c r="G101" s="2"/>
      <c r="H101" s="2"/>
      <c r="I101" s="91"/>
      <c r="J101" s="91"/>
      <c r="K101" s="46"/>
      <c r="L101" s="9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2"/>
      <c r="D102" s="2"/>
      <c r="E102" s="2"/>
      <c r="F102" s="2"/>
      <c r="G102" s="2"/>
      <c r="H102" s="2"/>
      <c r="I102" s="91"/>
      <c r="J102" s="91"/>
      <c r="K102" s="46"/>
      <c r="L102" s="9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2"/>
      <c r="D103" s="2"/>
      <c r="E103" s="2"/>
      <c r="F103" s="2"/>
      <c r="G103" s="2"/>
      <c r="H103" s="2"/>
      <c r="I103" s="91"/>
      <c r="J103" s="91"/>
      <c r="K103" s="46"/>
      <c r="L103" s="9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2"/>
      <c r="D104" s="2"/>
      <c r="E104" s="2"/>
      <c r="F104" s="2"/>
      <c r="G104" s="2"/>
      <c r="H104" s="2"/>
      <c r="I104" s="91"/>
      <c r="J104" s="91"/>
      <c r="K104" s="46"/>
      <c r="L104" s="9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2"/>
      <c r="D105" s="2"/>
      <c r="E105" s="2"/>
      <c r="F105" s="2"/>
      <c r="G105" s="2"/>
      <c r="H105" s="2"/>
      <c r="I105" s="17" t="s">
        <v>11</v>
      </c>
      <c r="J105" s="91"/>
      <c r="K105" s="46"/>
      <c r="L105" s="9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2"/>
      <c r="D106" s="2"/>
      <c r="E106" s="2"/>
      <c r="F106" s="2"/>
      <c r="G106" s="2"/>
      <c r="H106" s="2"/>
      <c r="I106" s="54">
        <f>SUM(I7:I96)</f>
        <v>0</v>
      </c>
      <c r="J106" s="55" t="s">
        <v>12</v>
      </c>
      <c r="K106" s="56"/>
      <c r="L106" s="95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2"/>
      <c r="D107" s="2"/>
      <c r="E107" s="2"/>
      <c r="F107" s="2"/>
      <c r="G107" s="2"/>
      <c r="H107" s="2"/>
      <c r="I107" s="58">
        <f>SUM(I106*2%)</f>
        <v>0</v>
      </c>
      <c r="J107" s="59">
        <f>SUM(J7:J96)</f>
        <v>444</v>
      </c>
      <c r="K107" s="60" t="s">
        <v>18</v>
      </c>
      <c r="L107" s="95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54">
        <f>SUM(J107*2%)</f>
        <v>8.88</v>
      </c>
      <c r="K108" s="54">
        <f>SUM(K7:K96)</f>
        <v>1190</v>
      </c>
      <c r="L108" s="62" t="s">
        <v>14</v>
      </c>
      <c r="M108" s="3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63"/>
      <c r="K109" s="58">
        <f>SUM(K108*2%)</f>
        <v>23.8</v>
      </c>
      <c r="L109" s="64">
        <f>SUM(L8:L97)</f>
        <v>100</v>
      </c>
      <c r="M109" s="65" t="s">
        <v>19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61"/>
      <c r="L110" s="58">
        <f>SUM(L109*2%)</f>
        <v>2</v>
      </c>
      <c r="M110" s="66">
        <f>SUM(M97)</f>
        <v>1340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6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6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6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6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6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6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6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6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6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6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6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6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6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6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6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6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6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6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6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6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6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6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6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6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6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6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6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6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6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6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6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6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6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6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6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6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6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6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6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6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6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6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6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6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6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6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6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6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6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6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6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6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6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6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6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6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6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6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6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6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6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6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6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6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6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6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6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6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6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6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6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6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6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6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6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6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6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6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6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6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6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6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6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6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6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6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6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6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6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6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6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6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6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6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6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6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6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6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6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6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6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6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6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6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6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6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6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6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6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6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6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6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6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6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6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6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6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6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6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6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6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6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6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6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6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6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6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6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6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6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6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6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6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6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6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6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6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6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6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6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6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6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6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6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6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6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6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6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6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6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6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6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6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6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6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6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6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6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6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6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6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6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6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6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6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6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6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6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6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6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6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6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6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6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6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6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6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6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6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6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6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6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6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6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6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6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6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6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6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6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6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6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6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6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6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6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6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6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6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6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6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6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6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6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6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6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6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6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6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6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6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6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6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6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6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6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6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6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6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6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6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6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6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6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6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6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6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6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6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6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6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6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6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6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6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6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6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6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6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6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6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6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6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6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6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6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6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6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6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6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6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6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6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6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6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6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6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6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6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6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6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6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6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6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6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6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6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6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6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6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6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6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6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6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6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6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6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6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6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6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6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6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6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6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6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6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6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6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6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6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6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6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6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6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6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6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6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6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6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6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6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6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6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6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6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6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6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6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6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6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6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6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6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6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6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6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6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6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6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6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6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6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6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6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6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6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6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6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6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6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6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6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6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6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6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6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6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6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6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6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6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6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6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6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6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6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6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6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6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6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6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6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6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6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6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6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6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6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6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6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6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6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6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6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6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6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6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6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6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6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6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6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6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6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6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6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6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6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6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6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6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6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6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6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6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6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6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6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6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6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6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6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6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6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6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6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6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6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6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6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6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6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6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6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6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6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6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6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6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6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6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6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6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6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6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6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6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6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6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6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6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6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6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6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6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6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6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6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6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6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6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6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6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6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6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6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6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6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6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6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6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6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6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6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6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6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6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6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6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6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6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6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6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6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6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6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6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6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6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6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6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6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6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6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6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6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6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6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6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6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6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6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6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6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6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6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6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6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6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6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6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6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6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6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6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6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6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6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6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6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6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6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6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6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6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6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6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6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6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6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6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6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6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6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6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6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6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6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6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6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6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6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6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6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6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6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6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6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6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6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6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6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6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6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6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6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6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6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6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6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6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6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6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6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6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6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6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6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6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6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6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6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6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6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6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6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6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6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6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6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6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6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6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6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6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6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6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6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6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6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6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6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6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6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6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6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6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6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6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6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6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6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6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6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6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6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6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6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6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6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6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6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6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6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6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6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6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6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6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6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6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6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6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6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6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6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6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6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6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6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6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6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6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6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6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6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6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6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6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6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6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6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6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6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6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6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6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6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6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6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6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6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6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6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6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6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6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6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6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6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6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6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6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6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6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6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6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6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6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6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6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6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6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6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6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6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6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6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6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6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6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6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6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6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6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6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6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6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6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6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6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6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6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6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6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6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6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6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6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6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6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6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6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6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6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6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6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6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6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6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6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6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6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6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6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6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6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6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6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6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6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6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6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6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6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6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6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6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6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6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6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6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6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6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6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6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6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6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6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6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6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6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6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6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6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6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6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6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6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6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6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6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6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6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6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6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6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6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6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6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6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6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6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6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6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6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6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6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6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6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6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6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6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6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6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6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6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6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6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6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6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6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6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6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6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6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6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6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6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6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6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6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6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6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6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6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6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6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6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6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6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6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6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6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6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6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6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6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6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6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6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6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6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6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6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6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6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6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6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6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6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6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6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6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6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6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6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6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6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6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6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6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6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6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6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6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6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6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6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6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6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6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6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6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6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6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6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6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6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6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6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6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6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6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6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6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6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6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6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6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6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6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6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6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6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6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6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6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6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6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6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6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6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6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6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6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6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6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6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6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6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6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6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6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6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6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6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6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6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6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6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6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6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6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6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6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6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6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6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6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6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6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6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6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6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6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6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6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6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6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6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6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6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6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6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6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6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6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6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6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6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6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4">
    <mergeCell ref="A2:O2"/>
    <mergeCell ref="A3:O3"/>
    <mergeCell ref="A4:O5"/>
    <mergeCell ref="N8:O8"/>
  </mergeCells>
  <dataValidations>
    <dataValidation type="list" allowBlank="1" showErrorMessage="1" sqref="A7:A95">
      <formula1>"Pix,Cartão,Pacote ,Pago "</formula1>
    </dataValidation>
    <dataValidation type="list" allowBlank="1" showErrorMessage="1" sqref="D11">
      <formula1>"White board,Cartoon ,3D ,3D personalizado,3D Premium,VSL,Logo,Post,Influencer Pamela,Influencer João B.,3D Estatico ,3D Realista,Edição audio,Pov,Flow,Personalização,Explainer,formato,Pacote"</formula1>
    </dataValidation>
    <dataValidation type="list" allowBlank="1" showErrorMessage="1" sqref="D7:D10 D12:D95">
      <formula1>"White board,Cartoon ,3D ,3D personalizado,3D Premium,VSL,Logo,Post,Influencer Pamela,Influencer João B.,3D Estatico ,3D Realista,Edição audio,Pov,Flow,Personalização,Explainer,formato"</formula1>
    </dataValidation>
    <dataValidation type="list" allowBlank="1" showErrorMessage="1" sqref="C7:C95 H7:H95">
      <formula1>"Vinicius,Kaua,Caio,Julia,Jhonatas,Diogo,Caio Ferreira,Pamelah,Caio Alves,Camila,Wiliam ,Gabriel ,Fernanda,Kaua Pessoni,Gabriel Batista,Gustavo Pereira,Demetrio ,Caio Vinicius,Wesley"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88"/>
    <col customWidth="1" min="5" max="5" width="14.38"/>
    <col customWidth="1" min="6" max="6" width="15.63"/>
  </cols>
  <sheetData>
    <row r="1">
      <c r="A1" s="1"/>
      <c r="B1" s="1"/>
      <c r="C1" s="2"/>
      <c r="D1" s="2"/>
      <c r="E1" s="2"/>
      <c r="F1" s="2"/>
      <c r="G1" s="2"/>
      <c r="H1" s="2"/>
      <c r="I1" s="67"/>
      <c r="J1" s="67"/>
      <c r="K1" s="67"/>
      <c r="L1" s="67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7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4" t="s">
        <v>3</v>
      </c>
      <c r="B6" s="15" t="s">
        <v>4</v>
      </c>
      <c r="C6" s="15" t="s">
        <v>5</v>
      </c>
      <c r="D6" s="15" t="s">
        <v>6</v>
      </c>
      <c r="E6" s="15" t="s">
        <v>7</v>
      </c>
      <c r="F6" s="16" t="s">
        <v>8</v>
      </c>
      <c r="G6" s="14" t="s">
        <v>9</v>
      </c>
      <c r="H6" s="14" t="s">
        <v>10</v>
      </c>
      <c r="I6" s="17" t="s">
        <v>11</v>
      </c>
      <c r="J6" s="18" t="s">
        <v>12</v>
      </c>
      <c r="K6" s="19" t="s">
        <v>13</v>
      </c>
      <c r="L6" s="20" t="s">
        <v>14</v>
      </c>
      <c r="M6" s="21" t="s">
        <v>15</v>
      </c>
      <c r="N6" s="2"/>
      <c r="O6" s="2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3"/>
      <c r="B7" s="23"/>
      <c r="C7" s="82" t="s">
        <v>52</v>
      </c>
      <c r="D7" s="68" t="s">
        <v>24</v>
      </c>
      <c r="E7" s="120" t="s">
        <v>133</v>
      </c>
      <c r="F7" s="109"/>
      <c r="G7" s="78" t="s">
        <v>134</v>
      </c>
      <c r="H7" s="24"/>
      <c r="I7" s="72"/>
      <c r="J7" s="73"/>
      <c r="K7" s="99">
        <v>250.0</v>
      </c>
      <c r="L7" s="80"/>
      <c r="M7" s="27">
        <v>50.0</v>
      </c>
      <c r="N7" s="2"/>
      <c r="O7" s="22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3"/>
      <c r="B8" s="23"/>
      <c r="C8" s="24"/>
      <c r="D8" s="23"/>
      <c r="E8" s="23"/>
      <c r="F8" s="26"/>
      <c r="G8" s="26"/>
      <c r="H8" s="24"/>
      <c r="I8" s="72"/>
      <c r="J8" s="73"/>
      <c r="K8" s="74"/>
      <c r="L8" s="80"/>
      <c r="M8" s="32"/>
      <c r="N8" s="33" t="s">
        <v>16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3"/>
      <c r="B9" s="23"/>
      <c r="C9" s="24"/>
      <c r="D9" s="23"/>
      <c r="E9" s="23"/>
      <c r="F9" s="26"/>
      <c r="G9" s="26"/>
      <c r="H9" s="24"/>
      <c r="I9" s="72"/>
      <c r="J9" s="73"/>
      <c r="K9" s="74"/>
      <c r="L9" s="80"/>
      <c r="M9" s="32"/>
      <c r="N9" s="17" t="s">
        <v>11</v>
      </c>
      <c r="O9" s="34">
        <f>SUM(I6:I95)</f>
        <v>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3"/>
      <c r="B10" s="23"/>
      <c r="C10" s="24"/>
      <c r="D10" s="23"/>
      <c r="E10" s="23"/>
      <c r="F10" s="26"/>
      <c r="G10" s="26"/>
      <c r="H10" s="24"/>
      <c r="I10" s="72"/>
      <c r="J10" s="73"/>
      <c r="K10" s="74"/>
      <c r="L10" s="80"/>
      <c r="M10" s="32"/>
      <c r="N10" s="18" t="s">
        <v>12</v>
      </c>
      <c r="O10" s="34">
        <f>SUM(J7:J95)</f>
        <v>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3"/>
      <c r="B11" s="23"/>
      <c r="C11" s="24"/>
      <c r="D11" s="23"/>
      <c r="E11" s="23"/>
      <c r="F11" s="26"/>
      <c r="G11" s="26"/>
      <c r="H11" s="24"/>
      <c r="I11" s="72"/>
      <c r="J11" s="73"/>
      <c r="K11" s="74"/>
      <c r="L11" s="80"/>
      <c r="M11" s="32"/>
      <c r="N11" s="19" t="s">
        <v>13</v>
      </c>
      <c r="O11" s="34">
        <f>SUM(K7:K96)</f>
        <v>250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3"/>
      <c r="B12" s="23"/>
      <c r="C12" s="24"/>
      <c r="D12" s="23"/>
      <c r="E12" s="23"/>
      <c r="F12" s="26"/>
      <c r="G12" s="26"/>
      <c r="H12" s="24"/>
      <c r="I12" s="72"/>
      <c r="J12" s="73"/>
      <c r="K12" s="74"/>
      <c r="L12" s="80"/>
      <c r="M12" s="32"/>
      <c r="N12" s="20" t="s">
        <v>14</v>
      </c>
      <c r="O12" s="34">
        <f>SUM(L7:L96)</f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3"/>
      <c r="B13" s="23"/>
      <c r="C13" s="24"/>
      <c r="D13" s="23"/>
      <c r="E13" s="26"/>
      <c r="F13" s="26"/>
      <c r="G13" s="26"/>
      <c r="H13" s="24"/>
      <c r="I13" s="72"/>
      <c r="J13" s="73"/>
      <c r="K13" s="74"/>
      <c r="L13" s="80"/>
      <c r="M13" s="35"/>
      <c r="N13" s="36" t="s">
        <v>17</v>
      </c>
      <c r="O13" s="37">
        <f>SUM(N8:O12)</f>
        <v>250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3"/>
      <c r="B14" s="23"/>
      <c r="C14" s="24"/>
      <c r="D14" s="23"/>
      <c r="E14" s="26"/>
      <c r="F14" s="26"/>
      <c r="G14" s="26"/>
      <c r="H14" s="24"/>
      <c r="I14" s="72"/>
      <c r="J14" s="73"/>
      <c r="K14" s="74"/>
      <c r="L14" s="80"/>
      <c r="M14" s="35"/>
      <c r="N14" s="2"/>
      <c r="O14" s="2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3"/>
      <c r="B15" s="23"/>
      <c r="C15" s="24"/>
      <c r="D15" s="23"/>
      <c r="E15" s="26"/>
      <c r="F15" s="26"/>
      <c r="G15" s="26"/>
      <c r="H15" s="24"/>
      <c r="I15" s="72"/>
      <c r="J15" s="73"/>
      <c r="K15" s="74"/>
      <c r="L15" s="80"/>
      <c r="M15" s="35"/>
      <c r="N15" s="2"/>
      <c r="O15" s="2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3"/>
      <c r="B16" s="23"/>
      <c r="C16" s="24"/>
      <c r="D16" s="23"/>
      <c r="E16" s="26"/>
      <c r="F16" s="26"/>
      <c r="G16" s="26"/>
      <c r="H16" s="24"/>
      <c r="I16" s="72"/>
      <c r="J16" s="73"/>
      <c r="K16" s="74"/>
      <c r="L16" s="80"/>
      <c r="M16" s="35"/>
      <c r="N16" s="2"/>
      <c r="O16" s="2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3"/>
      <c r="B17" s="23"/>
      <c r="C17" s="24"/>
      <c r="D17" s="23"/>
      <c r="E17" s="26"/>
      <c r="F17" s="26"/>
      <c r="G17" s="26"/>
      <c r="H17" s="24"/>
      <c r="I17" s="72"/>
      <c r="J17" s="73"/>
      <c r="K17" s="74"/>
      <c r="L17" s="80"/>
      <c r="M17" s="35"/>
      <c r="N17" s="2"/>
      <c r="O17" s="2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3"/>
      <c r="B18" s="23"/>
      <c r="C18" s="24"/>
      <c r="D18" s="23"/>
      <c r="E18" s="26"/>
      <c r="F18" s="26"/>
      <c r="G18" s="26"/>
      <c r="H18" s="24"/>
      <c r="I18" s="72"/>
      <c r="J18" s="73"/>
      <c r="K18" s="74"/>
      <c r="L18" s="80"/>
      <c r="M18" s="35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3"/>
      <c r="B19" s="23"/>
      <c r="C19" s="24"/>
      <c r="D19" s="23"/>
      <c r="E19" s="26"/>
      <c r="F19" s="26"/>
      <c r="G19" s="26"/>
      <c r="H19" s="24"/>
      <c r="I19" s="72"/>
      <c r="J19" s="73"/>
      <c r="K19" s="74"/>
      <c r="L19" s="80"/>
      <c r="M19" s="3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3"/>
      <c r="B20" s="23"/>
      <c r="C20" s="24"/>
      <c r="D20" s="23"/>
      <c r="E20" s="26"/>
      <c r="F20" s="26"/>
      <c r="G20" s="26"/>
      <c r="H20" s="24"/>
      <c r="I20" s="72"/>
      <c r="J20" s="73"/>
      <c r="K20" s="74"/>
      <c r="L20" s="80"/>
      <c r="M20" s="3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3"/>
      <c r="B21" s="23"/>
      <c r="C21" s="24"/>
      <c r="D21" s="23"/>
      <c r="E21" s="26"/>
      <c r="F21" s="26"/>
      <c r="G21" s="26"/>
      <c r="H21" s="24"/>
      <c r="I21" s="72"/>
      <c r="J21" s="73"/>
      <c r="K21" s="74"/>
      <c r="L21" s="80"/>
      <c r="M21" s="3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3"/>
      <c r="B22" s="23"/>
      <c r="C22" s="24"/>
      <c r="D22" s="23"/>
      <c r="E22" s="26"/>
      <c r="F22" s="26"/>
      <c r="G22" s="26"/>
      <c r="H22" s="24"/>
      <c r="I22" s="72"/>
      <c r="J22" s="73"/>
      <c r="K22" s="74"/>
      <c r="L22" s="80"/>
      <c r="M22" s="3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3"/>
      <c r="B23" s="23"/>
      <c r="C23" s="24"/>
      <c r="D23" s="23"/>
      <c r="E23" s="26"/>
      <c r="F23" s="26"/>
      <c r="G23" s="26"/>
      <c r="H23" s="24"/>
      <c r="I23" s="72"/>
      <c r="J23" s="73"/>
      <c r="K23" s="74"/>
      <c r="L23" s="80"/>
      <c r="M23" s="3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3"/>
      <c r="B24" s="23"/>
      <c r="C24" s="24"/>
      <c r="D24" s="23"/>
      <c r="E24" s="26"/>
      <c r="F24" s="26"/>
      <c r="G24" s="26"/>
      <c r="H24" s="24"/>
      <c r="I24" s="87"/>
      <c r="J24" s="88"/>
      <c r="K24" s="89"/>
      <c r="L24" s="90"/>
      <c r="M24" s="3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3"/>
      <c r="B25" s="23"/>
      <c r="C25" s="24"/>
      <c r="D25" s="23"/>
      <c r="E25" s="26"/>
      <c r="F25" s="26"/>
      <c r="G25" s="26"/>
      <c r="H25" s="24"/>
      <c r="I25" s="87"/>
      <c r="J25" s="88"/>
      <c r="K25" s="89"/>
      <c r="L25" s="90"/>
      <c r="M25" s="3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3"/>
      <c r="B26" s="23"/>
      <c r="C26" s="24"/>
      <c r="D26" s="23"/>
      <c r="E26" s="26"/>
      <c r="F26" s="26"/>
      <c r="G26" s="26"/>
      <c r="H26" s="24"/>
      <c r="I26" s="87"/>
      <c r="J26" s="88"/>
      <c r="K26" s="89"/>
      <c r="L26" s="90"/>
      <c r="M26" s="3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3"/>
      <c r="B27" s="23"/>
      <c r="C27" s="24"/>
      <c r="D27" s="23"/>
      <c r="E27" s="26"/>
      <c r="F27" s="26"/>
      <c r="G27" s="26"/>
      <c r="H27" s="24"/>
      <c r="I27" s="87"/>
      <c r="J27" s="88"/>
      <c r="K27" s="89"/>
      <c r="L27" s="90"/>
      <c r="M27" s="3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3"/>
      <c r="B28" s="23"/>
      <c r="C28" s="24"/>
      <c r="D28" s="23"/>
      <c r="E28" s="26"/>
      <c r="F28" s="26"/>
      <c r="G28" s="26"/>
      <c r="H28" s="24"/>
      <c r="I28" s="87"/>
      <c r="J28" s="88"/>
      <c r="K28" s="89"/>
      <c r="L28" s="90"/>
      <c r="M28" s="35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3"/>
      <c r="B29" s="23"/>
      <c r="C29" s="24"/>
      <c r="D29" s="23"/>
      <c r="E29" s="26"/>
      <c r="F29" s="26"/>
      <c r="G29" s="26"/>
      <c r="H29" s="24"/>
      <c r="I29" s="87"/>
      <c r="J29" s="88"/>
      <c r="K29" s="89"/>
      <c r="L29" s="90"/>
      <c r="M29" s="3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3"/>
      <c r="B30" s="23"/>
      <c r="C30" s="24"/>
      <c r="D30" s="23"/>
      <c r="E30" s="26"/>
      <c r="F30" s="26"/>
      <c r="G30" s="26"/>
      <c r="H30" s="24"/>
      <c r="I30" s="87"/>
      <c r="J30" s="88"/>
      <c r="K30" s="89"/>
      <c r="L30" s="90"/>
      <c r="M30" s="3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3"/>
      <c r="B31" s="23"/>
      <c r="C31" s="24"/>
      <c r="D31" s="23"/>
      <c r="E31" s="26"/>
      <c r="F31" s="26"/>
      <c r="G31" s="26"/>
      <c r="H31" s="24"/>
      <c r="I31" s="87"/>
      <c r="J31" s="88"/>
      <c r="K31" s="89"/>
      <c r="L31" s="90"/>
      <c r="M31" s="3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3"/>
      <c r="B32" s="23"/>
      <c r="C32" s="24"/>
      <c r="D32" s="23"/>
      <c r="E32" s="26"/>
      <c r="F32" s="26"/>
      <c r="G32" s="26"/>
      <c r="H32" s="24"/>
      <c r="I32" s="87"/>
      <c r="J32" s="88"/>
      <c r="K32" s="89"/>
      <c r="L32" s="90"/>
      <c r="M32" s="3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3"/>
      <c r="B33" s="23"/>
      <c r="C33" s="24"/>
      <c r="D33" s="23"/>
      <c r="E33" s="26"/>
      <c r="F33" s="26"/>
      <c r="G33" s="26"/>
      <c r="H33" s="24"/>
      <c r="I33" s="87"/>
      <c r="J33" s="88"/>
      <c r="K33" s="89"/>
      <c r="L33" s="90"/>
      <c r="M33" s="3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3"/>
      <c r="B34" s="23"/>
      <c r="C34" s="24"/>
      <c r="D34" s="23"/>
      <c r="E34" s="26"/>
      <c r="F34" s="26"/>
      <c r="G34" s="26"/>
      <c r="H34" s="24"/>
      <c r="I34" s="87"/>
      <c r="J34" s="88"/>
      <c r="K34" s="89"/>
      <c r="L34" s="90"/>
      <c r="M34" s="3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3"/>
      <c r="B35" s="23"/>
      <c r="C35" s="24"/>
      <c r="D35" s="23"/>
      <c r="E35" s="26"/>
      <c r="F35" s="26"/>
      <c r="G35" s="26"/>
      <c r="H35" s="24"/>
      <c r="I35" s="87"/>
      <c r="J35" s="88"/>
      <c r="K35" s="89"/>
      <c r="L35" s="90"/>
      <c r="M35" s="3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3"/>
      <c r="B36" s="23"/>
      <c r="C36" s="24"/>
      <c r="D36" s="23"/>
      <c r="E36" s="26"/>
      <c r="F36" s="26"/>
      <c r="G36" s="26"/>
      <c r="H36" s="24"/>
      <c r="I36" s="87"/>
      <c r="J36" s="73"/>
      <c r="K36" s="74"/>
      <c r="L36" s="80"/>
      <c r="M36" s="4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3"/>
      <c r="B37" s="23"/>
      <c r="C37" s="24"/>
      <c r="D37" s="23"/>
      <c r="E37" s="26"/>
      <c r="F37" s="26"/>
      <c r="G37" s="26"/>
      <c r="H37" s="24"/>
      <c r="I37" s="87"/>
      <c r="J37" s="73"/>
      <c r="K37" s="74"/>
      <c r="L37" s="80"/>
      <c r="M37" s="4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3"/>
      <c r="B38" s="23"/>
      <c r="C38" s="24"/>
      <c r="D38" s="23"/>
      <c r="E38" s="26"/>
      <c r="F38" s="26"/>
      <c r="G38" s="26"/>
      <c r="H38" s="24"/>
      <c r="I38" s="87"/>
      <c r="J38" s="73"/>
      <c r="K38" s="74"/>
      <c r="L38" s="80"/>
      <c r="M38" s="4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3"/>
      <c r="B39" s="23"/>
      <c r="C39" s="24"/>
      <c r="D39" s="23"/>
      <c r="E39" s="26"/>
      <c r="F39" s="26"/>
      <c r="G39" s="26"/>
      <c r="H39" s="24"/>
      <c r="I39" s="87"/>
      <c r="J39" s="73"/>
      <c r="K39" s="74"/>
      <c r="L39" s="80"/>
      <c r="M39" s="4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3"/>
      <c r="B40" s="23"/>
      <c r="C40" s="24"/>
      <c r="D40" s="23"/>
      <c r="E40" s="26"/>
      <c r="F40" s="26"/>
      <c r="G40" s="26"/>
      <c r="H40" s="24"/>
      <c r="I40" s="87"/>
      <c r="J40" s="73"/>
      <c r="K40" s="74"/>
      <c r="L40" s="80"/>
      <c r="M40" s="4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3"/>
      <c r="B41" s="23"/>
      <c r="C41" s="24"/>
      <c r="D41" s="23"/>
      <c r="E41" s="26"/>
      <c r="F41" s="26"/>
      <c r="G41" s="26"/>
      <c r="H41" s="24"/>
      <c r="I41" s="87"/>
      <c r="J41" s="73"/>
      <c r="K41" s="74"/>
      <c r="L41" s="80"/>
      <c r="M41" s="4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3"/>
      <c r="B42" s="23"/>
      <c r="C42" s="24"/>
      <c r="D42" s="23"/>
      <c r="E42" s="35"/>
      <c r="F42" s="35"/>
      <c r="G42" s="35"/>
      <c r="H42" s="24"/>
      <c r="I42" s="87"/>
      <c r="J42" s="73"/>
      <c r="K42" s="74"/>
      <c r="L42" s="80"/>
      <c r="M42" s="4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3"/>
      <c r="B43" s="23"/>
      <c r="C43" s="24"/>
      <c r="D43" s="23"/>
      <c r="E43" s="26"/>
      <c r="F43" s="26"/>
      <c r="G43" s="26"/>
      <c r="H43" s="24"/>
      <c r="I43" s="87"/>
      <c r="J43" s="73"/>
      <c r="K43" s="74"/>
      <c r="L43" s="80"/>
      <c r="M43" s="4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3"/>
      <c r="B44" s="23"/>
      <c r="C44" s="24"/>
      <c r="D44" s="23"/>
      <c r="E44" s="26"/>
      <c r="F44" s="26"/>
      <c r="G44" s="26"/>
      <c r="H44" s="24"/>
      <c r="I44" s="87"/>
      <c r="J44" s="73"/>
      <c r="K44" s="74"/>
      <c r="L44" s="80"/>
      <c r="M44" s="4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3"/>
      <c r="B45" s="23"/>
      <c r="C45" s="24"/>
      <c r="D45" s="23"/>
      <c r="E45" s="26"/>
      <c r="F45" s="26"/>
      <c r="G45" s="26"/>
      <c r="H45" s="24"/>
      <c r="I45" s="87"/>
      <c r="J45" s="73"/>
      <c r="K45" s="74"/>
      <c r="L45" s="80"/>
      <c r="M45" s="4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3"/>
      <c r="B46" s="23"/>
      <c r="C46" s="24"/>
      <c r="D46" s="23"/>
      <c r="E46" s="26"/>
      <c r="F46" s="26"/>
      <c r="G46" s="26"/>
      <c r="H46" s="24"/>
      <c r="I46" s="72"/>
      <c r="J46" s="73"/>
      <c r="K46" s="74"/>
      <c r="L46" s="80"/>
      <c r="M46" s="4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3"/>
      <c r="B47" s="23"/>
      <c r="C47" s="24"/>
      <c r="D47" s="23"/>
      <c r="E47" s="26"/>
      <c r="F47" s="26"/>
      <c r="G47" s="26"/>
      <c r="H47" s="24"/>
      <c r="I47" s="72"/>
      <c r="J47" s="73"/>
      <c r="K47" s="74"/>
      <c r="L47" s="80"/>
      <c r="M47" s="4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3"/>
      <c r="B48" s="23"/>
      <c r="C48" s="24"/>
      <c r="D48" s="23"/>
      <c r="E48" s="26"/>
      <c r="F48" s="26"/>
      <c r="G48" s="26"/>
      <c r="H48" s="24"/>
      <c r="I48" s="72"/>
      <c r="J48" s="73"/>
      <c r="K48" s="74"/>
      <c r="L48" s="80"/>
      <c r="M48" s="4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3"/>
      <c r="B49" s="23"/>
      <c r="C49" s="24"/>
      <c r="D49" s="23"/>
      <c r="E49" s="26"/>
      <c r="F49" s="26"/>
      <c r="G49" s="26"/>
      <c r="H49" s="24"/>
      <c r="I49" s="72"/>
      <c r="J49" s="73"/>
      <c r="K49" s="74"/>
      <c r="L49" s="80"/>
      <c r="M49" s="4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3"/>
      <c r="B50" s="23"/>
      <c r="C50" s="24"/>
      <c r="D50" s="23"/>
      <c r="E50" s="26"/>
      <c r="F50" s="26"/>
      <c r="G50" s="26"/>
      <c r="H50" s="24"/>
      <c r="I50" s="87"/>
      <c r="J50" s="73"/>
      <c r="K50" s="74"/>
      <c r="L50" s="80"/>
      <c r="M50" s="4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3"/>
      <c r="B51" s="23"/>
      <c r="C51" s="24"/>
      <c r="D51" s="23"/>
      <c r="E51" s="26"/>
      <c r="F51" s="26"/>
      <c r="G51" s="26"/>
      <c r="H51" s="24"/>
      <c r="I51" s="87"/>
      <c r="J51" s="73"/>
      <c r="K51" s="74"/>
      <c r="L51" s="80"/>
      <c r="M51" s="4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3"/>
      <c r="B52" s="23"/>
      <c r="C52" s="24"/>
      <c r="D52" s="23"/>
      <c r="E52" s="26"/>
      <c r="F52" s="26"/>
      <c r="G52" s="26"/>
      <c r="H52" s="24"/>
      <c r="I52" s="87"/>
      <c r="J52" s="73"/>
      <c r="K52" s="74"/>
      <c r="L52" s="80"/>
      <c r="M52" s="4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3"/>
      <c r="B53" s="23"/>
      <c r="C53" s="24"/>
      <c r="D53" s="23"/>
      <c r="E53" s="26"/>
      <c r="F53" s="26"/>
      <c r="G53" s="26"/>
      <c r="H53" s="24"/>
      <c r="I53" s="87"/>
      <c r="J53" s="73"/>
      <c r="K53" s="74"/>
      <c r="L53" s="80"/>
      <c r="M53" s="4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3"/>
      <c r="B54" s="23"/>
      <c r="C54" s="24"/>
      <c r="D54" s="23"/>
      <c r="E54" s="26"/>
      <c r="F54" s="26"/>
      <c r="G54" s="26"/>
      <c r="H54" s="24"/>
      <c r="I54" s="87"/>
      <c r="J54" s="73"/>
      <c r="K54" s="74"/>
      <c r="L54" s="80"/>
      <c r="M54" s="4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3"/>
      <c r="B55" s="23"/>
      <c r="C55" s="24"/>
      <c r="D55" s="23"/>
      <c r="E55" s="26"/>
      <c r="F55" s="26"/>
      <c r="G55" s="26"/>
      <c r="H55" s="24"/>
      <c r="I55" s="87"/>
      <c r="J55" s="73"/>
      <c r="K55" s="74"/>
      <c r="L55" s="80"/>
      <c r="M55" s="4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3"/>
      <c r="B56" s="23"/>
      <c r="C56" s="24"/>
      <c r="D56" s="23"/>
      <c r="E56" s="26"/>
      <c r="F56" s="26"/>
      <c r="G56" s="26"/>
      <c r="H56" s="24"/>
      <c r="I56" s="87"/>
      <c r="J56" s="73"/>
      <c r="K56" s="74"/>
      <c r="L56" s="80"/>
      <c r="M56" s="4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3"/>
      <c r="B57" s="23"/>
      <c r="C57" s="24"/>
      <c r="D57" s="23"/>
      <c r="E57" s="26"/>
      <c r="F57" s="26"/>
      <c r="G57" s="26"/>
      <c r="H57" s="24"/>
      <c r="I57" s="87"/>
      <c r="J57" s="88"/>
      <c r="K57" s="89"/>
      <c r="L57" s="90"/>
      <c r="M57" s="35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3"/>
      <c r="B58" s="23"/>
      <c r="C58" s="24"/>
      <c r="D58" s="23"/>
      <c r="E58" s="26"/>
      <c r="F58" s="26"/>
      <c r="G58" s="26"/>
      <c r="H58" s="24"/>
      <c r="I58" s="87"/>
      <c r="J58" s="73"/>
      <c r="K58" s="74"/>
      <c r="L58" s="80"/>
      <c r="M58" s="4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3"/>
      <c r="B59" s="23"/>
      <c r="C59" s="24"/>
      <c r="D59" s="23"/>
      <c r="E59" s="26"/>
      <c r="F59" s="26"/>
      <c r="G59" s="26"/>
      <c r="H59" s="24"/>
      <c r="I59" s="87"/>
      <c r="J59" s="73"/>
      <c r="K59" s="74"/>
      <c r="L59" s="80"/>
      <c r="M59" s="4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3"/>
      <c r="B60" s="23"/>
      <c r="C60" s="24"/>
      <c r="D60" s="23"/>
      <c r="E60" s="26"/>
      <c r="F60" s="26"/>
      <c r="G60" s="26"/>
      <c r="H60" s="24"/>
      <c r="I60" s="87"/>
      <c r="J60" s="73"/>
      <c r="K60" s="74"/>
      <c r="L60" s="80"/>
      <c r="M60" s="4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3"/>
      <c r="B61" s="23"/>
      <c r="C61" s="24"/>
      <c r="D61" s="23"/>
      <c r="E61" s="26"/>
      <c r="F61" s="26"/>
      <c r="G61" s="26"/>
      <c r="H61" s="24"/>
      <c r="I61" s="87"/>
      <c r="J61" s="73"/>
      <c r="K61" s="74"/>
      <c r="L61" s="80"/>
      <c r="M61" s="4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3"/>
      <c r="B62" s="23"/>
      <c r="C62" s="24"/>
      <c r="D62" s="23"/>
      <c r="E62" s="26"/>
      <c r="F62" s="26"/>
      <c r="G62" s="26"/>
      <c r="H62" s="24"/>
      <c r="I62" s="87"/>
      <c r="J62" s="73"/>
      <c r="K62" s="74"/>
      <c r="L62" s="80"/>
      <c r="M62" s="4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3"/>
      <c r="B63" s="23"/>
      <c r="C63" s="24"/>
      <c r="D63" s="23"/>
      <c r="E63" s="26"/>
      <c r="F63" s="26"/>
      <c r="G63" s="26"/>
      <c r="H63" s="24"/>
      <c r="I63" s="87"/>
      <c r="J63" s="73"/>
      <c r="K63" s="74"/>
      <c r="L63" s="80"/>
      <c r="M63" s="4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3"/>
      <c r="B64" s="23"/>
      <c r="C64" s="24"/>
      <c r="D64" s="23"/>
      <c r="E64" s="26"/>
      <c r="F64" s="26"/>
      <c r="G64" s="26"/>
      <c r="H64" s="24"/>
      <c r="I64" s="87"/>
      <c r="J64" s="73"/>
      <c r="K64" s="74"/>
      <c r="L64" s="80"/>
      <c r="M64" s="4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3"/>
      <c r="B65" s="23"/>
      <c r="C65" s="24"/>
      <c r="D65" s="23"/>
      <c r="E65" s="26"/>
      <c r="F65" s="26"/>
      <c r="G65" s="26"/>
      <c r="H65" s="24"/>
      <c r="I65" s="87"/>
      <c r="J65" s="73"/>
      <c r="K65" s="74"/>
      <c r="L65" s="80"/>
      <c r="M65" s="4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3"/>
      <c r="B66" s="23"/>
      <c r="C66" s="24"/>
      <c r="D66" s="23"/>
      <c r="E66" s="26"/>
      <c r="F66" s="26"/>
      <c r="G66" s="26"/>
      <c r="H66" s="24"/>
      <c r="I66" s="87"/>
      <c r="J66" s="73"/>
      <c r="K66" s="74"/>
      <c r="L66" s="80"/>
      <c r="M66" s="4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3"/>
      <c r="B67" s="23"/>
      <c r="C67" s="24"/>
      <c r="D67" s="23"/>
      <c r="E67" s="26"/>
      <c r="F67" s="26"/>
      <c r="G67" s="26"/>
      <c r="H67" s="24"/>
      <c r="I67" s="87"/>
      <c r="J67" s="73"/>
      <c r="K67" s="74"/>
      <c r="L67" s="80"/>
      <c r="M67" s="4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3"/>
      <c r="B68" s="23"/>
      <c r="C68" s="24"/>
      <c r="D68" s="23"/>
      <c r="E68" s="26"/>
      <c r="F68" s="26"/>
      <c r="G68" s="26"/>
      <c r="H68" s="24"/>
      <c r="I68" s="87"/>
      <c r="J68" s="73"/>
      <c r="K68" s="74"/>
      <c r="L68" s="80"/>
      <c r="M68" s="4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3"/>
      <c r="B69" s="23"/>
      <c r="C69" s="24"/>
      <c r="D69" s="23"/>
      <c r="E69" s="26"/>
      <c r="F69" s="26"/>
      <c r="G69" s="26"/>
      <c r="H69" s="24"/>
      <c r="I69" s="87"/>
      <c r="J69" s="73"/>
      <c r="K69" s="74"/>
      <c r="L69" s="80"/>
      <c r="M69" s="4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3"/>
      <c r="B70" s="23"/>
      <c r="C70" s="24"/>
      <c r="D70" s="23"/>
      <c r="E70" s="26"/>
      <c r="F70" s="26"/>
      <c r="G70" s="26"/>
      <c r="H70" s="24"/>
      <c r="I70" s="87"/>
      <c r="J70" s="73"/>
      <c r="K70" s="74"/>
      <c r="L70" s="80"/>
      <c r="M70" s="4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3"/>
      <c r="B71" s="23"/>
      <c r="C71" s="24"/>
      <c r="D71" s="23"/>
      <c r="E71" s="26"/>
      <c r="F71" s="26"/>
      <c r="G71" s="26"/>
      <c r="H71" s="24"/>
      <c r="I71" s="87"/>
      <c r="J71" s="73"/>
      <c r="K71" s="74"/>
      <c r="L71" s="80"/>
      <c r="M71" s="4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3"/>
      <c r="B72" s="23"/>
      <c r="C72" s="24"/>
      <c r="D72" s="23"/>
      <c r="E72" s="26"/>
      <c r="F72" s="26"/>
      <c r="G72" s="26"/>
      <c r="H72" s="24"/>
      <c r="I72" s="87"/>
      <c r="J72" s="73"/>
      <c r="K72" s="74"/>
      <c r="L72" s="80"/>
      <c r="M72" s="4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3"/>
      <c r="B73" s="23"/>
      <c r="C73" s="24"/>
      <c r="D73" s="23"/>
      <c r="E73" s="26"/>
      <c r="F73" s="26"/>
      <c r="G73" s="26"/>
      <c r="H73" s="24"/>
      <c r="I73" s="87"/>
      <c r="J73" s="88"/>
      <c r="K73" s="89"/>
      <c r="L73" s="90"/>
      <c r="M73" s="35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3"/>
      <c r="B74" s="23"/>
      <c r="C74" s="24"/>
      <c r="D74" s="23"/>
      <c r="E74" s="26"/>
      <c r="F74" s="26"/>
      <c r="G74" s="26"/>
      <c r="H74" s="24"/>
      <c r="I74" s="87"/>
      <c r="J74" s="73"/>
      <c r="K74" s="74"/>
      <c r="L74" s="80"/>
      <c r="M74" s="4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3"/>
      <c r="B75" s="23"/>
      <c r="C75" s="24"/>
      <c r="D75" s="23"/>
      <c r="E75" s="26"/>
      <c r="F75" s="26"/>
      <c r="G75" s="26"/>
      <c r="H75" s="24"/>
      <c r="I75" s="87"/>
      <c r="J75" s="73"/>
      <c r="K75" s="74"/>
      <c r="L75" s="80"/>
      <c r="M75" s="4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3"/>
      <c r="B76" s="23"/>
      <c r="C76" s="24"/>
      <c r="D76" s="23"/>
      <c r="E76" s="26"/>
      <c r="F76" s="26"/>
      <c r="G76" s="26"/>
      <c r="H76" s="24"/>
      <c r="I76" s="87"/>
      <c r="J76" s="73"/>
      <c r="K76" s="74"/>
      <c r="L76" s="80"/>
      <c r="M76" s="4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3"/>
      <c r="B77" s="23"/>
      <c r="C77" s="24"/>
      <c r="D77" s="23"/>
      <c r="E77" s="26"/>
      <c r="F77" s="26"/>
      <c r="G77" s="26"/>
      <c r="H77" s="24"/>
      <c r="I77" s="87"/>
      <c r="J77" s="73"/>
      <c r="K77" s="74"/>
      <c r="L77" s="80"/>
      <c r="M77" s="4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3"/>
      <c r="B78" s="23"/>
      <c r="C78" s="24"/>
      <c r="D78" s="23"/>
      <c r="E78" s="26"/>
      <c r="F78" s="26"/>
      <c r="G78" s="26"/>
      <c r="H78" s="24"/>
      <c r="I78" s="87"/>
      <c r="J78" s="73"/>
      <c r="K78" s="74"/>
      <c r="L78" s="80"/>
      <c r="M78" s="4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3"/>
      <c r="B79" s="23"/>
      <c r="C79" s="24"/>
      <c r="D79" s="23"/>
      <c r="E79" s="26"/>
      <c r="F79" s="26"/>
      <c r="G79" s="26"/>
      <c r="H79" s="24"/>
      <c r="I79" s="87"/>
      <c r="J79" s="73"/>
      <c r="K79" s="74"/>
      <c r="L79" s="80"/>
      <c r="M79" s="4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3"/>
      <c r="B80" s="23"/>
      <c r="C80" s="24"/>
      <c r="D80" s="23"/>
      <c r="E80" s="26"/>
      <c r="F80" s="26"/>
      <c r="G80" s="26"/>
      <c r="H80" s="24"/>
      <c r="I80" s="87"/>
      <c r="J80" s="88"/>
      <c r="K80" s="89"/>
      <c r="L80" s="90"/>
      <c r="M80" s="35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3"/>
      <c r="B81" s="23"/>
      <c r="C81" s="24"/>
      <c r="D81" s="23"/>
      <c r="E81" s="26"/>
      <c r="F81" s="26"/>
      <c r="G81" s="26"/>
      <c r="H81" s="24"/>
      <c r="I81" s="87"/>
      <c r="J81" s="73"/>
      <c r="K81" s="74"/>
      <c r="L81" s="80"/>
      <c r="M81" s="4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3"/>
      <c r="B82" s="23"/>
      <c r="C82" s="24"/>
      <c r="D82" s="23"/>
      <c r="E82" s="26"/>
      <c r="F82" s="26"/>
      <c r="G82" s="26"/>
      <c r="H82" s="24"/>
      <c r="I82" s="87"/>
      <c r="J82" s="73"/>
      <c r="K82" s="74"/>
      <c r="L82" s="80"/>
      <c r="M82" s="4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3"/>
      <c r="B83" s="23"/>
      <c r="C83" s="24"/>
      <c r="D83" s="23"/>
      <c r="E83" s="26"/>
      <c r="F83" s="26"/>
      <c r="G83" s="26"/>
      <c r="H83" s="24"/>
      <c r="I83" s="87"/>
      <c r="J83" s="88"/>
      <c r="K83" s="89"/>
      <c r="L83" s="90"/>
      <c r="M83" s="35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3"/>
      <c r="B84" s="23"/>
      <c r="C84" s="24"/>
      <c r="D84" s="23"/>
      <c r="E84" s="26"/>
      <c r="F84" s="26"/>
      <c r="G84" s="26"/>
      <c r="H84" s="24"/>
      <c r="I84" s="87"/>
      <c r="J84" s="88"/>
      <c r="K84" s="89"/>
      <c r="L84" s="90"/>
      <c r="M84" s="35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3"/>
      <c r="B85" s="23"/>
      <c r="C85" s="24"/>
      <c r="D85" s="23"/>
      <c r="E85" s="26"/>
      <c r="F85" s="26"/>
      <c r="G85" s="26"/>
      <c r="H85" s="24"/>
      <c r="I85" s="87"/>
      <c r="J85" s="88"/>
      <c r="K85" s="89"/>
      <c r="L85" s="90"/>
      <c r="M85" s="35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3"/>
      <c r="B86" s="23"/>
      <c r="C86" s="24"/>
      <c r="D86" s="23"/>
      <c r="E86" s="26"/>
      <c r="F86" s="26"/>
      <c r="G86" s="26"/>
      <c r="H86" s="24"/>
      <c r="I86" s="87"/>
      <c r="J86" s="88"/>
      <c r="K86" s="89"/>
      <c r="L86" s="90"/>
      <c r="M86" s="35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3"/>
      <c r="B87" s="23"/>
      <c r="C87" s="24"/>
      <c r="D87" s="23"/>
      <c r="E87" s="26"/>
      <c r="F87" s="26"/>
      <c r="G87" s="26"/>
      <c r="H87" s="24"/>
      <c r="I87" s="87"/>
      <c r="J87" s="88"/>
      <c r="K87" s="89"/>
      <c r="L87" s="90"/>
      <c r="M87" s="35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3"/>
      <c r="B88" s="23"/>
      <c r="C88" s="24"/>
      <c r="D88" s="23"/>
      <c r="E88" s="26"/>
      <c r="F88" s="26"/>
      <c r="G88" s="26"/>
      <c r="H88" s="24"/>
      <c r="I88" s="87"/>
      <c r="J88" s="88"/>
      <c r="K88" s="89"/>
      <c r="L88" s="90"/>
      <c r="M88" s="35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3"/>
      <c r="B89" s="23"/>
      <c r="C89" s="24"/>
      <c r="D89" s="23"/>
      <c r="E89" s="26"/>
      <c r="F89" s="26"/>
      <c r="G89" s="26"/>
      <c r="H89" s="24"/>
      <c r="I89" s="87"/>
      <c r="J89" s="88"/>
      <c r="K89" s="89"/>
      <c r="L89" s="90"/>
      <c r="M89" s="35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3"/>
      <c r="B90" s="23"/>
      <c r="C90" s="24"/>
      <c r="D90" s="23"/>
      <c r="E90" s="26"/>
      <c r="F90" s="26"/>
      <c r="G90" s="26"/>
      <c r="H90" s="24"/>
      <c r="I90" s="87"/>
      <c r="J90" s="88"/>
      <c r="K90" s="89"/>
      <c r="L90" s="90"/>
      <c r="M90" s="35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3"/>
      <c r="B91" s="23"/>
      <c r="C91" s="24"/>
      <c r="D91" s="23"/>
      <c r="E91" s="26"/>
      <c r="F91" s="26"/>
      <c r="G91" s="26"/>
      <c r="H91" s="24"/>
      <c r="I91" s="87"/>
      <c r="J91" s="88"/>
      <c r="K91" s="89"/>
      <c r="L91" s="90"/>
      <c r="M91" s="35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3"/>
      <c r="B92" s="23"/>
      <c r="C92" s="24"/>
      <c r="D92" s="23"/>
      <c r="E92" s="26"/>
      <c r="F92" s="26"/>
      <c r="G92" s="26"/>
      <c r="H92" s="24"/>
      <c r="I92" s="87"/>
      <c r="J92" s="88"/>
      <c r="K92" s="89"/>
      <c r="L92" s="90"/>
      <c r="M92" s="35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3"/>
      <c r="B93" s="23"/>
      <c r="C93" s="24"/>
      <c r="D93" s="23"/>
      <c r="E93" s="26"/>
      <c r="F93" s="26"/>
      <c r="G93" s="26"/>
      <c r="H93" s="24"/>
      <c r="I93" s="87"/>
      <c r="J93" s="88"/>
      <c r="K93" s="89"/>
      <c r="L93" s="90"/>
      <c r="M93" s="35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3"/>
      <c r="B94" s="23"/>
      <c r="C94" s="24"/>
      <c r="D94" s="23"/>
      <c r="E94" s="26"/>
      <c r="F94" s="26"/>
      <c r="G94" s="26"/>
      <c r="H94" s="24"/>
      <c r="I94" s="87"/>
      <c r="J94" s="88"/>
      <c r="K94" s="89"/>
      <c r="L94" s="90"/>
      <c r="M94" s="35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3"/>
      <c r="B95" s="23"/>
      <c r="C95" s="24"/>
      <c r="D95" s="23"/>
      <c r="E95" s="26"/>
      <c r="F95" s="26"/>
      <c r="G95" s="26"/>
      <c r="H95" s="24"/>
      <c r="I95" s="87"/>
      <c r="J95" s="88"/>
      <c r="K95" s="89"/>
      <c r="L95" s="90"/>
      <c r="M95" s="35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2"/>
      <c r="B96" s="1"/>
      <c r="C96" s="43"/>
      <c r="D96" s="44"/>
      <c r="E96" s="45"/>
      <c r="F96" s="2"/>
      <c r="G96" s="2"/>
      <c r="H96" s="2"/>
      <c r="I96" s="91"/>
      <c r="J96" s="92"/>
      <c r="K96" s="89"/>
      <c r="L96" s="90"/>
      <c r="M96" s="35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/>
      <c r="B97" s="1"/>
      <c r="C97" s="48"/>
      <c r="D97" s="49"/>
      <c r="E97" s="50"/>
      <c r="F97" s="2"/>
      <c r="G97" s="2"/>
      <c r="H97" s="2"/>
      <c r="I97" s="91"/>
      <c r="J97" s="91"/>
      <c r="K97" s="91"/>
      <c r="L97" s="91"/>
      <c r="M97" s="51">
        <f>SUM(M7:M96)</f>
        <v>50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/>
      <c r="B98" s="52"/>
      <c r="C98" s="43"/>
      <c r="D98" s="2"/>
      <c r="E98" s="2"/>
      <c r="F98" s="2"/>
      <c r="G98" s="2"/>
      <c r="H98" s="2"/>
      <c r="I98" s="91"/>
      <c r="J98" s="91"/>
      <c r="K98" s="91"/>
      <c r="L98" s="9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43"/>
      <c r="D99" s="2"/>
      <c r="E99" s="2"/>
      <c r="F99" s="2"/>
      <c r="G99" s="2"/>
      <c r="H99" s="2"/>
      <c r="I99" s="93"/>
      <c r="J99" s="91"/>
      <c r="K99" s="91"/>
      <c r="L99" s="9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2"/>
      <c r="D100" s="2"/>
      <c r="E100" s="2"/>
      <c r="F100" s="2"/>
      <c r="G100" s="2"/>
      <c r="H100" s="2"/>
      <c r="I100" s="91"/>
      <c r="J100" s="93"/>
      <c r="K100" s="93"/>
      <c r="L100" s="93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2"/>
      <c r="D101" s="2"/>
      <c r="E101" s="2"/>
      <c r="F101" s="2"/>
      <c r="G101" s="2"/>
      <c r="H101" s="2"/>
      <c r="I101" s="91"/>
      <c r="J101" s="91"/>
      <c r="K101" s="91"/>
      <c r="L101" s="9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2"/>
      <c r="D102" s="2"/>
      <c r="E102" s="2"/>
      <c r="F102" s="2"/>
      <c r="G102" s="2"/>
      <c r="H102" s="2"/>
      <c r="I102" s="91"/>
      <c r="J102" s="91"/>
      <c r="K102" s="91"/>
      <c r="L102" s="9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2"/>
      <c r="D103" s="2"/>
      <c r="E103" s="2"/>
      <c r="F103" s="2"/>
      <c r="G103" s="2"/>
      <c r="H103" s="2"/>
      <c r="I103" s="91"/>
      <c r="J103" s="91"/>
      <c r="K103" s="91"/>
      <c r="L103" s="9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2"/>
      <c r="D104" s="2"/>
      <c r="E104" s="2"/>
      <c r="F104" s="2"/>
      <c r="G104" s="2"/>
      <c r="H104" s="2"/>
      <c r="I104" s="91"/>
      <c r="J104" s="91"/>
      <c r="K104" s="91"/>
      <c r="L104" s="9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2"/>
      <c r="D105" s="2"/>
      <c r="E105" s="2"/>
      <c r="F105" s="2"/>
      <c r="G105" s="2"/>
      <c r="H105" s="2"/>
      <c r="I105" s="17" t="s">
        <v>11</v>
      </c>
      <c r="J105" s="91"/>
      <c r="K105" s="91"/>
      <c r="L105" s="9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2"/>
      <c r="D106" s="2"/>
      <c r="E106" s="2"/>
      <c r="F106" s="2"/>
      <c r="G106" s="2"/>
      <c r="H106" s="2"/>
      <c r="I106" s="54">
        <f>SUM(I7:I96)</f>
        <v>0</v>
      </c>
      <c r="J106" s="55" t="s">
        <v>12</v>
      </c>
      <c r="K106" s="94"/>
      <c r="L106" s="95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2"/>
      <c r="D107" s="2"/>
      <c r="E107" s="2"/>
      <c r="F107" s="2"/>
      <c r="G107" s="2"/>
      <c r="H107" s="2"/>
      <c r="I107" s="58">
        <f>SUM(I106*2%)</f>
        <v>0</v>
      </c>
      <c r="J107" s="59">
        <f>SUM(J7:J96)</f>
        <v>0</v>
      </c>
      <c r="K107" s="60" t="s">
        <v>18</v>
      </c>
      <c r="L107" s="95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54">
        <f>SUM(J107*2%)</f>
        <v>0</v>
      </c>
      <c r="K108" s="54">
        <f>SUM(K7:K96)</f>
        <v>250</v>
      </c>
      <c r="L108" s="62" t="s">
        <v>14</v>
      </c>
      <c r="M108" s="3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63"/>
      <c r="K109" s="58">
        <f>SUM(K108*2%)</f>
        <v>5</v>
      </c>
      <c r="L109" s="64">
        <f>SUM(L8:L97)</f>
        <v>0</v>
      </c>
      <c r="M109" s="65" t="s">
        <v>19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58">
        <f>SUM(L109*2%)</f>
        <v>0</v>
      </c>
      <c r="M110" s="66">
        <f>SUM(M97)</f>
        <v>50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4">
    <mergeCell ref="A2:O2"/>
    <mergeCell ref="A3:O3"/>
    <mergeCell ref="A4:O5"/>
    <mergeCell ref="N8:O8"/>
  </mergeCells>
  <dataValidations>
    <dataValidation type="list" allowBlank="1" showErrorMessage="1" sqref="A7:A95">
      <formula1>"Pix,Cartão,Pacote ,Pago "</formula1>
    </dataValidation>
    <dataValidation type="list" allowBlank="1" showErrorMessage="1" sqref="D7:D95">
      <formula1>"White board,Cartoon ,3D ,3D personalizado,3D Premium,VSL,Logo,Post,Influencer Pamela,Influencer João B.,3D Estatico ,3D Realista,Edição audio,Pov,Flow,Personalização,Explainer"</formula1>
    </dataValidation>
    <dataValidation type="list" allowBlank="1" showErrorMessage="1" sqref="C7:C95 H7:H95">
      <formula1>"Vinicius,Kaua,Caio,Julia,Jhonatas,Diogo,Caio Ferreira,Pamelah,Caio Alves,Camila,Wiliam ,Gabriel ,Fernanda,Kaua Pessoni,Gabriel Batista,Gustavo Pereira,Demetrio ,Caio Vinicius,Wesley"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88"/>
    <col customWidth="1" min="5" max="5" width="17.63"/>
    <col customWidth="1" min="6" max="6" width="15.63"/>
  </cols>
  <sheetData>
    <row r="1">
      <c r="A1" s="1"/>
      <c r="B1" s="1"/>
      <c r="C1" s="2"/>
      <c r="D1" s="2"/>
      <c r="E1" s="2"/>
      <c r="F1" s="2"/>
      <c r="G1" s="2"/>
      <c r="H1" s="2"/>
      <c r="I1" s="67"/>
      <c r="J1" s="67"/>
      <c r="K1" s="67"/>
      <c r="L1" s="67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7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4" t="s">
        <v>3</v>
      </c>
      <c r="B6" s="15" t="s">
        <v>4</v>
      </c>
      <c r="C6" s="15" t="s">
        <v>5</v>
      </c>
      <c r="D6" s="15" t="s">
        <v>6</v>
      </c>
      <c r="E6" s="15" t="s">
        <v>7</v>
      </c>
      <c r="F6" s="16" t="s">
        <v>8</v>
      </c>
      <c r="G6" s="14" t="s">
        <v>9</v>
      </c>
      <c r="H6" s="14" t="s">
        <v>10</v>
      </c>
      <c r="I6" s="17" t="s">
        <v>11</v>
      </c>
      <c r="J6" s="18" t="s">
        <v>12</v>
      </c>
      <c r="K6" s="19" t="s">
        <v>13</v>
      </c>
      <c r="L6" s="20" t="s">
        <v>14</v>
      </c>
      <c r="M6" s="21" t="s">
        <v>15</v>
      </c>
      <c r="N6" s="2"/>
      <c r="O6" s="2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68" t="s">
        <v>20</v>
      </c>
      <c r="B7" s="23"/>
      <c r="C7" s="24"/>
      <c r="D7" s="68" t="s">
        <v>94</v>
      </c>
      <c r="E7" s="68" t="s">
        <v>135</v>
      </c>
      <c r="F7" s="25"/>
      <c r="G7" s="78" t="s">
        <v>136</v>
      </c>
      <c r="H7" s="24"/>
      <c r="I7" s="72"/>
      <c r="J7" s="79">
        <v>350.0</v>
      </c>
      <c r="K7" s="74"/>
      <c r="L7" s="80"/>
      <c r="M7" s="27">
        <v>125.0</v>
      </c>
      <c r="N7" s="2"/>
      <c r="O7" s="22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3"/>
      <c r="B8" s="68">
        <v>746.0</v>
      </c>
      <c r="C8" s="24"/>
      <c r="D8" s="68" t="s">
        <v>21</v>
      </c>
      <c r="E8" s="121" t="s">
        <v>137</v>
      </c>
      <c r="F8" s="26"/>
      <c r="G8" s="106">
        <v>6.599799322E9</v>
      </c>
      <c r="H8" s="24"/>
      <c r="I8" s="72"/>
      <c r="J8" s="73"/>
      <c r="K8" s="74"/>
      <c r="L8" s="75">
        <v>100.0</v>
      </c>
      <c r="M8" s="84">
        <v>100.0</v>
      </c>
      <c r="N8" s="33" t="s">
        <v>16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3"/>
      <c r="B9" s="23"/>
      <c r="C9" s="24"/>
      <c r="D9" s="68" t="s">
        <v>24</v>
      </c>
      <c r="E9" s="70" t="s">
        <v>138</v>
      </c>
      <c r="F9" s="26"/>
      <c r="G9" s="122" t="s">
        <v>139</v>
      </c>
      <c r="H9" s="24"/>
      <c r="I9" s="72"/>
      <c r="J9" s="79"/>
      <c r="K9" s="74"/>
      <c r="L9" s="75">
        <v>250.0</v>
      </c>
      <c r="M9" s="84">
        <v>250.0</v>
      </c>
      <c r="N9" s="17" t="s">
        <v>11</v>
      </c>
      <c r="O9" s="34">
        <f>SUM(I6:I95)</f>
        <v>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8" t="s">
        <v>20</v>
      </c>
      <c r="B10" s="23"/>
      <c r="C10" s="82" t="s">
        <v>140</v>
      </c>
      <c r="D10" s="68" t="s">
        <v>24</v>
      </c>
      <c r="E10" s="77" t="s">
        <v>141</v>
      </c>
      <c r="F10" s="26"/>
      <c r="G10" s="78" t="s">
        <v>142</v>
      </c>
      <c r="H10" s="82" t="s">
        <v>39</v>
      </c>
      <c r="I10" s="72"/>
      <c r="J10" s="79">
        <v>300.0</v>
      </c>
      <c r="K10" s="74"/>
      <c r="L10" s="80"/>
      <c r="M10" s="27">
        <v>100.0</v>
      </c>
      <c r="N10" s="18" t="s">
        <v>12</v>
      </c>
      <c r="O10" s="34">
        <f>SUM(J7:J95)</f>
        <v>650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3"/>
      <c r="B11" s="23"/>
      <c r="C11" s="24"/>
      <c r="D11" s="23"/>
      <c r="E11" s="23"/>
      <c r="F11" s="26"/>
      <c r="G11" s="26"/>
      <c r="H11" s="24"/>
      <c r="I11" s="72"/>
      <c r="J11" s="73"/>
      <c r="K11" s="74"/>
      <c r="L11" s="80"/>
      <c r="M11" s="32"/>
      <c r="N11" s="19" t="s">
        <v>13</v>
      </c>
      <c r="O11" s="34">
        <f>SUM(K7:K96)</f>
        <v>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3"/>
      <c r="B12" s="23"/>
      <c r="C12" s="24"/>
      <c r="D12" s="23"/>
      <c r="E12" s="23"/>
      <c r="F12" s="26"/>
      <c r="G12" s="26"/>
      <c r="H12" s="24"/>
      <c r="I12" s="72"/>
      <c r="J12" s="73"/>
      <c r="K12" s="74"/>
      <c r="L12" s="80"/>
      <c r="M12" s="32"/>
      <c r="N12" s="20" t="s">
        <v>14</v>
      </c>
      <c r="O12" s="34">
        <f>SUM(L7:L96)</f>
        <v>350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3"/>
      <c r="B13" s="23"/>
      <c r="C13" s="24"/>
      <c r="D13" s="23"/>
      <c r="E13" s="26"/>
      <c r="F13" s="26"/>
      <c r="G13" s="26"/>
      <c r="H13" s="24"/>
      <c r="I13" s="72"/>
      <c r="J13" s="73"/>
      <c r="K13" s="74"/>
      <c r="L13" s="80"/>
      <c r="M13" s="35"/>
      <c r="N13" s="36" t="s">
        <v>17</v>
      </c>
      <c r="O13" s="37">
        <f>SUM(N8:O12)</f>
        <v>1000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3"/>
      <c r="B14" s="23"/>
      <c r="C14" s="24"/>
      <c r="D14" s="23"/>
      <c r="E14" s="26"/>
      <c r="F14" s="26"/>
      <c r="G14" s="26"/>
      <c r="H14" s="24"/>
      <c r="I14" s="72"/>
      <c r="J14" s="73"/>
      <c r="K14" s="74"/>
      <c r="L14" s="80"/>
      <c r="M14" s="35"/>
      <c r="N14" s="2"/>
      <c r="O14" s="2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3"/>
      <c r="B15" s="23"/>
      <c r="C15" s="24"/>
      <c r="D15" s="23"/>
      <c r="E15" s="26"/>
      <c r="F15" s="26"/>
      <c r="G15" s="26"/>
      <c r="H15" s="24"/>
      <c r="I15" s="72"/>
      <c r="J15" s="73"/>
      <c r="K15" s="74"/>
      <c r="L15" s="80"/>
      <c r="M15" s="35"/>
      <c r="N15" s="2"/>
      <c r="O15" s="2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3"/>
      <c r="B16" s="23"/>
      <c r="C16" s="24"/>
      <c r="D16" s="23"/>
      <c r="E16" s="26"/>
      <c r="F16" s="26"/>
      <c r="G16" s="26"/>
      <c r="H16" s="24"/>
      <c r="I16" s="72"/>
      <c r="J16" s="73"/>
      <c r="K16" s="74"/>
      <c r="L16" s="80"/>
      <c r="M16" s="35"/>
      <c r="N16" s="2"/>
      <c r="O16" s="2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3"/>
      <c r="B17" s="23"/>
      <c r="C17" s="24"/>
      <c r="D17" s="23"/>
      <c r="E17" s="26"/>
      <c r="F17" s="26"/>
      <c r="G17" s="26"/>
      <c r="H17" s="24"/>
      <c r="I17" s="72"/>
      <c r="J17" s="73"/>
      <c r="K17" s="74"/>
      <c r="L17" s="80"/>
      <c r="M17" s="35"/>
      <c r="N17" s="2"/>
      <c r="O17" s="2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3"/>
      <c r="B18" s="23"/>
      <c r="C18" s="24"/>
      <c r="D18" s="23"/>
      <c r="E18" s="26"/>
      <c r="F18" s="26"/>
      <c r="G18" s="26"/>
      <c r="H18" s="24"/>
      <c r="I18" s="72"/>
      <c r="J18" s="73"/>
      <c r="K18" s="74"/>
      <c r="L18" s="80"/>
      <c r="M18" s="35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3"/>
      <c r="B19" s="23"/>
      <c r="C19" s="24"/>
      <c r="D19" s="23"/>
      <c r="E19" s="26"/>
      <c r="F19" s="26"/>
      <c r="G19" s="26"/>
      <c r="H19" s="24"/>
      <c r="I19" s="72"/>
      <c r="J19" s="73"/>
      <c r="K19" s="74"/>
      <c r="L19" s="80"/>
      <c r="M19" s="3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3"/>
      <c r="B20" s="23"/>
      <c r="C20" s="24"/>
      <c r="D20" s="23"/>
      <c r="E20" s="26"/>
      <c r="F20" s="26"/>
      <c r="G20" s="26"/>
      <c r="H20" s="24"/>
      <c r="I20" s="72"/>
      <c r="J20" s="73"/>
      <c r="K20" s="74"/>
      <c r="L20" s="80"/>
      <c r="M20" s="3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3"/>
      <c r="B21" s="23"/>
      <c r="C21" s="24"/>
      <c r="D21" s="23"/>
      <c r="E21" s="26"/>
      <c r="F21" s="26"/>
      <c r="G21" s="26"/>
      <c r="H21" s="24"/>
      <c r="I21" s="72"/>
      <c r="J21" s="73"/>
      <c r="K21" s="74"/>
      <c r="L21" s="80"/>
      <c r="M21" s="3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3"/>
      <c r="B22" s="23"/>
      <c r="C22" s="24"/>
      <c r="D22" s="23"/>
      <c r="E22" s="26"/>
      <c r="F22" s="26"/>
      <c r="G22" s="26"/>
      <c r="H22" s="24"/>
      <c r="I22" s="72"/>
      <c r="J22" s="73"/>
      <c r="K22" s="74"/>
      <c r="L22" s="80"/>
      <c r="M22" s="3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3"/>
      <c r="B23" s="23"/>
      <c r="C23" s="24"/>
      <c r="D23" s="23"/>
      <c r="E23" s="26"/>
      <c r="F23" s="26"/>
      <c r="G23" s="26"/>
      <c r="H23" s="24"/>
      <c r="I23" s="72"/>
      <c r="J23" s="73"/>
      <c r="K23" s="74"/>
      <c r="L23" s="80"/>
      <c r="M23" s="3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3"/>
      <c r="B24" s="23"/>
      <c r="C24" s="24"/>
      <c r="D24" s="23"/>
      <c r="E24" s="26"/>
      <c r="F24" s="26"/>
      <c r="G24" s="26"/>
      <c r="H24" s="24"/>
      <c r="I24" s="87"/>
      <c r="J24" s="88"/>
      <c r="K24" s="89"/>
      <c r="L24" s="90"/>
      <c r="M24" s="3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3"/>
      <c r="B25" s="23"/>
      <c r="C25" s="24"/>
      <c r="D25" s="23"/>
      <c r="E25" s="26"/>
      <c r="F25" s="26"/>
      <c r="G25" s="26"/>
      <c r="H25" s="24"/>
      <c r="I25" s="87"/>
      <c r="J25" s="88"/>
      <c r="K25" s="89"/>
      <c r="L25" s="90"/>
      <c r="M25" s="3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3"/>
      <c r="B26" s="23"/>
      <c r="C26" s="24"/>
      <c r="D26" s="23"/>
      <c r="E26" s="26"/>
      <c r="F26" s="26"/>
      <c r="G26" s="26"/>
      <c r="H26" s="24"/>
      <c r="I26" s="87"/>
      <c r="J26" s="88"/>
      <c r="K26" s="89"/>
      <c r="L26" s="90"/>
      <c r="M26" s="3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3"/>
      <c r="B27" s="23"/>
      <c r="C27" s="24"/>
      <c r="D27" s="23"/>
      <c r="E27" s="26"/>
      <c r="F27" s="26"/>
      <c r="G27" s="26"/>
      <c r="H27" s="24"/>
      <c r="I27" s="87"/>
      <c r="J27" s="88"/>
      <c r="K27" s="89"/>
      <c r="L27" s="90"/>
      <c r="M27" s="3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3"/>
      <c r="B28" s="23"/>
      <c r="C28" s="24"/>
      <c r="D28" s="23"/>
      <c r="E28" s="26"/>
      <c r="F28" s="26"/>
      <c r="G28" s="26"/>
      <c r="H28" s="24"/>
      <c r="I28" s="87"/>
      <c r="J28" s="88"/>
      <c r="K28" s="89"/>
      <c r="L28" s="90"/>
      <c r="M28" s="35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3"/>
      <c r="B29" s="23"/>
      <c r="C29" s="24"/>
      <c r="D29" s="23"/>
      <c r="E29" s="26"/>
      <c r="F29" s="26"/>
      <c r="G29" s="26"/>
      <c r="H29" s="24"/>
      <c r="I29" s="87"/>
      <c r="J29" s="88"/>
      <c r="K29" s="89"/>
      <c r="L29" s="90"/>
      <c r="M29" s="3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3"/>
      <c r="B30" s="23"/>
      <c r="C30" s="24"/>
      <c r="D30" s="23"/>
      <c r="E30" s="26"/>
      <c r="F30" s="26"/>
      <c r="G30" s="26"/>
      <c r="H30" s="24"/>
      <c r="I30" s="87"/>
      <c r="J30" s="88"/>
      <c r="K30" s="89"/>
      <c r="L30" s="90"/>
      <c r="M30" s="3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3"/>
      <c r="B31" s="23"/>
      <c r="C31" s="24"/>
      <c r="D31" s="23"/>
      <c r="E31" s="26"/>
      <c r="F31" s="26"/>
      <c r="G31" s="26"/>
      <c r="H31" s="24"/>
      <c r="I31" s="87"/>
      <c r="J31" s="88"/>
      <c r="K31" s="89"/>
      <c r="L31" s="90"/>
      <c r="M31" s="3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3"/>
      <c r="B32" s="23"/>
      <c r="C32" s="24"/>
      <c r="D32" s="23"/>
      <c r="E32" s="26"/>
      <c r="F32" s="26"/>
      <c r="G32" s="26"/>
      <c r="H32" s="24"/>
      <c r="I32" s="87"/>
      <c r="J32" s="88"/>
      <c r="K32" s="89"/>
      <c r="L32" s="90"/>
      <c r="M32" s="3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3"/>
      <c r="B33" s="23"/>
      <c r="C33" s="24"/>
      <c r="D33" s="23"/>
      <c r="E33" s="26"/>
      <c r="F33" s="26"/>
      <c r="G33" s="26"/>
      <c r="H33" s="24"/>
      <c r="I33" s="87"/>
      <c r="J33" s="88"/>
      <c r="K33" s="89"/>
      <c r="L33" s="90"/>
      <c r="M33" s="3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3"/>
      <c r="B34" s="23"/>
      <c r="C34" s="24"/>
      <c r="D34" s="23"/>
      <c r="E34" s="26"/>
      <c r="F34" s="26"/>
      <c r="G34" s="26"/>
      <c r="H34" s="24"/>
      <c r="I34" s="87"/>
      <c r="J34" s="88"/>
      <c r="K34" s="89"/>
      <c r="L34" s="90"/>
      <c r="M34" s="3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3"/>
      <c r="B35" s="23"/>
      <c r="C35" s="24"/>
      <c r="D35" s="23"/>
      <c r="E35" s="26"/>
      <c r="F35" s="26"/>
      <c r="G35" s="26"/>
      <c r="H35" s="24"/>
      <c r="I35" s="87"/>
      <c r="J35" s="88"/>
      <c r="K35" s="89"/>
      <c r="L35" s="90"/>
      <c r="M35" s="3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3"/>
      <c r="B36" s="23"/>
      <c r="C36" s="24"/>
      <c r="D36" s="23"/>
      <c r="E36" s="26"/>
      <c r="F36" s="26"/>
      <c r="G36" s="26"/>
      <c r="H36" s="24"/>
      <c r="I36" s="87"/>
      <c r="J36" s="73"/>
      <c r="K36" s="74"/>
      <c r="L36" s="80"/>
      <c r="M36" s="4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3"/>
      <c r="B37" s="23"/>
      <c r="C37" s="24"/>
      <c r="D37" s="23"/>
      <c r="E37" s="26"/>
      <c r="F37" s="26"/>
      <c r="G37" s="26"/>
      <c r="H37" s="24"/>
      <c r="I37" s="87"/>
      <c r="J37" s="73"/>
      <c r="K37" s="74"/>
      <c r="L37" s="80"/>
      <c r="M37" s="4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3"/>
      <c r="B38" s="23"/>
      <c r="C38" s="24"/>
      <c r="D38" s="23"/>
      <c r="E38" s="26"/>
      <c r="F38" s="26"/>
      <c r="G38" s="26"/>
      <c r="H38" s="24"/>
      <c r="I38" s="87"/>
      <c r="J38" s="73"/>
      <c r="K38" s="74"/>
      <c r="L38" s="80"/>
      <c r="M38" s="4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3"/>
      <c r="B39" s="23"/>
      <c r="C39" s="24"/>
      <c r="D39" s="23"/>
      <c r="E39" s="26"/>
      <c r="F39" s="26"/>
      <c r="G39" s="26"/>
      <c r="H39" s="24"/>
      <c r="I39" s="87"/>
      <c r="J39" s="73"/>
      <c r="K39" s="74"/>
      <c r="L39" s="80"/>
      <c r="M39" s="4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3"/>
      <c r="B40" s="23"/>
      <c r="C40" s="24"/>
      <c r="D40" s="23"/>
      <c r="E40" s="26"/>
      <c r="F40" s="26"/>
      <c r="G40" s="26"/>
      <c r="H40" s="24"/>
      <c r="I40" s="87"/>
      <c r="J40" s="73"/>
      <c r="K40" s="74"/>
      <c r="L40" s="80"/>
      <c r="M40" s="4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3"/>
      <c r="B41" s="23"/>
      <c r="C41" s="24"/>
      <c r="D41" s="23"/>
      <c r="E41" s="26"/>
      <c r="F41" s="26"/>
      <c r="G41" s="26"/>
      <c r="H41" s="24"/>
      <c r="I41" s="87"/>
      <c r="J41" s="73"/>
      <c r="K41" s="74"/>
      <c r="L41" s="80"/>
      <c r="M41" s="4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3"/>
      <c r="B42" s="23"/>
      <c r="C42" s="24"/>
      <c r="D42" s="23"/>
      <c r="E42" s="35"/>
      <c r="F42" s="35"/>
      <c r="G42" s="35"/>
      <c r="H42" s="24"/>
      <c r="I42" s="87"/>
      <c r="J42" s="73"/>
      <c r="K42" s="74"/>
      <c r="L42" s="80"/>
      <c r="M42" s="4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3"/>
      <c r="B43" s="23"/>
      <c r="C43" s="24"/>
      <c r="D43" s="23"/>
      <c r="E43" s="26"/>
      <c r="F43" s="26"/>
      <c r="G43" s="26"/>
      <c r="H43" s="24"/>
      <c r="I43" s="87"/>
      <c r="J43" s="73"/>
      <c r="K43" s="74"/>
      <c r="L43" s="80"/>
      <c r="M43" s="4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3"/>
      <c r="B44" s="23"/>
      <c r="C44" s="24"/>
      <c r="D44" s="23"/>
      <c r="E44" s="26"/>
      <c r="F44" s="26"/>
      <c r="G44" s="26"/>
      <c r="H44" s="24"/>
      <c r="I44" s="87"/>
      <c r="J44" s="73"/>
      <c r="K44" s="74"/>
      <c r="L44" s="80"/>
      <c r="M44" s="4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3"/>
      <c r="B45" s="23"/>
      <c r="C45" s="24"/>
      <c r="D45" s="23"/>
      <c r="E45" s="26"/>
      <c r="F45" s="26"/>
      <c r="G45" s="26"/>
      <c r="H45" s="24"/>
      <c r="I45" s="87"/>
      <c r="J45" s="73"/>
      <c r="K45" s="74"/>
      <c r="L45" s="80"/>
      <c r="M45" s="4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3"/>
      <c r="B46" s="23"/>
      <c r="C46" s="24"/>
      <c r="D46" s="23"/>
      <c r="E46" s="26"/>
      <c r="F46" s="26"/>
      <c r="G46" s="26"/>
      <c r="H46" s="24"/>
      <c r="I46" s="72"/>
      <c r="J46" s="73"/>
      <c r="K46" s="74"/>
      <c r="L46" s="80"/>
      <c r="M46" s="4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3"/>
      <c r="B47" s="23"/>
      <c r="C47" s="24"/>
      <c r="D47" s="23"/>
      <c r="E47" s="26"/>
      <c r="F47" s="26"/>
      <c r="G47" s="26"/>
      <c r="H47" s="24"/>
      <c r="I47" s="72"/>
      <c r="J47" s="73"/>
      <c r="K47" s="74"/>
      <c r="L47" s="80"/>
      <c r="M47" s="4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3"/>
      <c r="B48" s="23"/>
      <c r="C48" s="24"/>
      <c r="D48" s="23"/>
      <c r="E48" s="26"/>
      <c r="F48" s="26"/>
      <c r="G48" s="26"/>
      <c r="H48" s="24"/>
      <c r="I48" s="72"/>
      <c r="J48" s="73"/>
      <c r="K48" s="74"/>
      <c r="L48" s="80"/>
      <c r="M48" s="4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3"/>
      <c r="B49" s="23"/>
      <c r="C49" s="24"/>
      <c r="D49" s="23"/>
      <c r="E49" s="26"/>
      <c r="F49" s="26"/>
      <c r="G49" s="26"/>
      <c r="H49" s="24"/>
      <c r="I49" s="72"/>
      <c r="J49" s="73"/>
      <c r="K49" s="74"/>
      <c r="L49" s="80"/>
      <c r="M49" s="4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3"/>
      <c r="B50" s="23"/>
      <c r="C50" s="24"/>
      <c r="D50" s="23"/>
      <c r="E50" s="26"/>
      <c r="F50" s="26"/>
      <c r="G50" s="26"/>
      <c r="H50" s="24"/>
      <c r="I50" s="87"/>
      <c r="J50" s="73"/>
      <c r="K50" s="74"/>
      <c r="L50" s="80"/>
      <c r="M50" s="4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3"/>
      <c r="B51" s="23"/>
      <c r="C51" s="24"/>
      <c r="D51" s="23"/>
      <c r="E51" s="26"/>
      <c r="F51" s="26"/>
      <c r="G51" s="26"/>
      <c r="H51" s="24"/>
      <c r="I51" s="87"/>
      <c r="J51" s="73"/>
      <c r="K51" s="74"/>
      <c r="L51" s="80"/>
      <c r="M51" s="4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3"/>
      <c r="B52" s="23"/>
      <c r="C52" s="24"/>
      <c r="D52" s="23"/>
      <c r="E52" s="26"/>
      <c r="F52" s="26"/>
      <c r="G52" s="26"/>
      <c r="H52" s="24"/>
      <c r="I52" s="87"/>
      <c r="J52" s="73"/>
      <c r="K52" s="74"/>
      <c r="L52" s="80"/>
      <c r="M52" s="4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3"/>
      <c r="B53" s="23"/>
      <c r="C53" s="24"/>
      <c r="D53" s="23"/>
      <c r="E53" s="26"/>
      <c r="F53" s="26"/>
      <c r="G53" s="26"/>
      <c r="H53" s="24"/>
      <c r="I53" s="87"/>
      <c r="J53" s="73"/>
      <c r="K53" s="74"/>
      <c r="L53" s="80"/>
      <c r="M53" s="4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3"/>
      <c r="B54" s="23"/>
      <c r="C54" s="24"/>
      <c r="D54" s="23"/>
      <c r="E54" s="26"/>
      <c r="F54" s="26"/>
      <c r="G54" s="26"/>
      <c r="H54" s="24"/>
      <c r="I54" s="87"/>
      <c r="J54" s="73"/>
      <c r="K54" s="74"/>
      <c r="L54" s="80"/>
      <c r="M54" s="4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3"/>
      <c r="B55" s="23"/>
      <c r="C55" s="24"/>
      <c r="D55" s="23"/>
      <c r="E55" s="26"/>
      <c r="F55" s="26"/>
      <c r="G55" s="26"/>
      <c r="H55" s="24"/>
      <c r="I55" s="87"/>
      <c r="J55" s="73"/>
      <c r="K55" s="74"/>
      <c r="L55" s="80"/>
      <c r="M55" s="4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3"/>
      <c r="B56" s="23"/>
      <c r="C56" s="24"/>
      <c r="D56" s="23"/>
      <c r="E56" s="26"/>
      <c r="F56" s="26"/>
      <c r="G56" s="26"/>
      <c r="H56" s="24"/>
      <c r="I56" s="87"/>
      <c r="J56" s="73"/>
      <c r="K56" s="74"/>
      <c r="L56" s="80"/>
      <c r="M56" s="4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3"/>
      <c r="B57" s="23"/>
      <c r="C57" s="24"/>
      <c r="D57" s="23"/>
      <c r="E57" s="26"/>
      <c r="F57" s="26"/>
      <c r="G57" s="26"/>
      <c r="H57" s="24"/>
      <c r="I57" s="87"/>
      <c r="J57" s="88"/>
      <c r="K57" s="89"/>
      <c r="L57" s="90"/>
      <c r="M57" s="35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3"/>
      <c r="B58" s="23"/>
      <c r="C58" s="24"/>
      <c r="D58" s="23"/>
      <c r="E58" s="26"/>
      <c r="F58" s="26"/>
      <c r="G58" s="26"/>
      <c r="H58" s="24"/>
      <c r="I58" s="87"/>
      <c r="J58" s="73"/>
      <c r="K58" s="74"/>
      <c r="L58" s="80"/>
      <c r="M58" s="4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3"/>
      <c r="B59" s="23"/>
      <c r="C59" s="24"/>
      <c r="D59" s="23"/>
      <c r="E59" s="26"/>
      <c r="F59" s="26"/>
      <c r="G59" s="26"/>
      <c r="H59" s="24"/>
      <c r="I59" s="87"/>
      <c r="J59" s="73"/>
      <c r="K59" s="74"/>
      <c r="L59" s="80"/>
      <c r="M59" s="4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3"/>
      <c r="B60" s="23"/>
      <c r="C60" s="24"/>
      <c r="D60" s="23"/>
      <c r="E60" s="26"/>
      <c r="F60" s="26"/>
      <c r="G60" s="26"/>
      <c r="H60" s="24"/>
      <c r="I60" s="87"/>
      <c r="J60" s="73"/>
      <c r="K60" s="74"/>
      <c r="L60" s="80"/>
      <c r="M60" s="4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3"/>
      <c r="B61" s="23"/>
      <c r="C61" s="24"/>
      <c r="D61" s="23"/>
      <c r="E61" s="26"/>
      <c r="F61" s="26"/>
      <c r="G61" s="26"/>
      <c r="H61" s="24"/>
      <c r="I61" s="87"/>
      <c r="J61" s="73"/>
      <c r="K61" s="74"/>
      <c r="L61" s="80"/>
      <c r="M61" s="4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3"/>
      <c r="B62" s="23"/>
      <c r="C62" s="24"/>
      <c r="D62" s="23"/>
      <c r="E62" s="26"/>
      <c r="F62" s="26"/>
      <c r="G62" s="26"/>
      <c r="H62" s="24"/>
      <c r="I62" s="87"/>
      <c r="J62" s="73"/>
      <c r="K62" s="74"/>
      <c r="L62" s="80"/>
      <c r="M62" s="4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3"/>
      <c r="B63" s="23"/>
      <c r="C63" s="24"/>
      <c r="D63" s="23"/>
      <c r="E63" s="26"/>
      <c r="F63" s="26"/>
      <c r="G63" s="26"/>
      <c r="H63" s="24"/>
      <c r="I63" s="87"/>
      <c r="J63" s="73"/>
      <c r="K63" s="74"/>
      <c r="L63" s="80"/>
      <c r="M63" s="4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3"/>
      <c r="B64" s="23"/>
      <c r="C64" s="24"/>
      <c r="D64" s="23"/>
      <c r="E64" s="26"/>
      <c r="F64" s="26"/>
      <c r="G64" s="26"/>
      <c r="H64" s="24"/>
      <c r="I64" s="87"/>
      <c r="J64" s="73"/>
      <c r="K64" s="74"/>
      <c r="L64" s="80"/>
      <c r="M64" s="4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3"/>
      <c r="B65" s="23"/>
      <c r="C65" s="24"/>
      <c r="D65" s="23"/>
      <c r="E65" s="26"/>
      <c r="F65" s="26"/>
      <c r="G65" s="26"/>
      <c r="H65" s="24"/>
      <c r="I65" s="87"/>
      <c r="J65" s="73"/>
      <c r="K65" s="74"/>
      <c r="L65" s="80"/>
      <c r="M65" s="4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3"/>
      <c r="B66" s="23"/>
      <c r="C66" s="24"/>
      <c r="D66" s="23"/>
      <c r="E66" s="26"/>
      <c r="F66" s="26"/>
      <c r="G66" s="26"/>
      <c r="H66" s="24"/>
      <c r="I66" s="87"/>
      <c r="J66" s="73"/>
      <c r="K66" s="74"/>
      <c r="L66" s="80"/>
      <c r="M66" s="4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3"/>
      <c r="B67" s="23"/>
      <c r="C67" s="24"/>
      <c r="D67" s="23"/>
      <c r="E67" s="26"/>
      <c r="F67" s="26"/>
      <c r="G67" s="26"/>
      <c r="H67" s="24"/>
      <c r="I67" s="87"/>
      <c r="J67" s="73"/>
      <c r="K67" s="74"/>
      <c r="L67" s="80"/>
      <c r="M67" s="4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3"/>
      <c r="B68" s="23"/>
      <c r="C68" s="24"/>
      <c r="D68" s="23"/>
      <c r="E68" s="26"/>
      <c r="F68" s="26"/>
      <c r="G68" s="26"/>
      <c r="H68" s="24"/>
      <c r="I68" s="87"/>
      <c r="J68" s="73"/>
      <c r="K68" s="74"/>
      <c r="L68" s="80"/>
      <c r="M68" s="4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3"/>
      <c r="B69" s="23"/>
      <c r="C69" s="24"/>
      <c r="D69" s="23"/>
      <c r="E69" s="26"/>
      <c r="F69" s="26"/>
      <c r="G69" s="26"/>
      <c r="H69" s="24"/>
      <c r="I69" s="87"/>
      <c r="J69" s="73"/>
      <c r="K69" s="74"/>
      <c r="L69" s="80"/>
      <c r="M69" s="4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3"/>
      <c r="B70" s="23"/>
      <c r="C70" s="24"/>
      <c r="D70" s="23"/>
      <c r="E70" s="26"/>
      <c r="F70" s="26"/>
      <c r="G70" s="26"/>
      <c r="H70" s="24"/>
      <c r="I70" s="87"/>
      <c r="J70" s="73"/>
      <c r="K70" s="74"/>
      <c r="L70" s="80"/>
      <c r="M70" s="4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3"/>
      <c r="B71" s="23"/>
      <c r="C71" s="24"/>
      <c r="D71" s="23"/>
      <c r="E71" s="26"/>
      <c r="F71" s="26"/>
      <c r="G71" s="26"/>
      <c r="H71" s="24"/>
      <c r="I71" s="87"/>
      <c r="J71" s="73"/>
      <c r="K71" s="74"/>
      <c r="L71" s="80"/>
      <c r="M71" s="4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3"/>
      <c r="B72" s="23"/>
      <c r="C72" s="24"/>
      <c r="D72" s="23"/>
      <c r="E72" s="26"/>
      <c r="F72" s="26"/>
      <c r="G72" s="26"/>
      <c r="H72" s="24"/>
      <c r="I72" s="87"/>
      <c r="J72" s="73"/>
      <c r="K72" s="74"/>
      <c r="L72" s="80"/>
      <c r="M72" s="4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3"/>
      <c r="B73" s="23"/>
      <c r="C73" s="24"/>
      <c r="D73" s="23"/>
      <c r="E73" s="26"/>
      <c r="F73" s="26"/>
      <c r="G73" s="26"/>
      <c r="H73" s="24"/>
      <c r="I73" s="87"/>
      <c r="J73" s="88"/>
      <c r="K73" s="89"/>
      <c r="L73" s="90"/>
      <c r="M73" s="35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3"/>
      <c r="B74" s="23"/>
      <c r="C74" s="24"/>
      <c r="D74" s="23"/>
      <c r="E74" s="26"/>
      <c r="F74" s="26"/>
      <c r="G74" s="26"/>
      <c r="H74" s="24"/>
      <c r="I74" s="87"/>
      <c r="J74" s="73"/>
      <c r="K74" s="74"/>
      <c r="L74" s="80"/>
      <c r="M74" s="4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3"/>
      <c r="B75" s="23"/>
      <c r="C75" s="24"/>
      <c r="D75" s="23"/>
      <c r="E75" s="26"/>
      <c r="F75" s="26"/>
      <c r="G75" s="26"/>
      <c r="H75" s="24"/>
      <c r="I75" s="87"/>
      <c r="J75" s="73"/>
      <c r="K75" s="74"/>
      <c r="L75" s="80"/>
      <c r="M75" s="4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3"/>
      <c r="B76" s="23"/>
      <c r="C76" s="24"/>
      <c r="D76" s="23"/>
      <c r="E76" s="26"/>
      <c r="F76" s="26"/>
      <c r="G76" s="26"/>
      <c r="H76" s="24"/>
      <c r="I76" s="87"/>
      <c r="J76" s="73"/>
      <c r="K76" s="74"/>
      <c r="L76" s="80"/>
      <c r="M76" s="4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3"/>
      <c r="B77" s="23"/>
      <c r="C77" s="24"/>
      <c r="D77" s="23"/>
      <c r="E77" s="26"/>
      <c r="F77" s="26"/>
      <c r="G77" s="26"/>
      <c r="H77" s="24"/>
      <c r="I77" s="87"/>
      <c r="J77" s="73"/>
      <c r="K77" s="74"/>
      <c r="L77" s="80"/>
      <c r="M77" s="4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3"/>
      <c r="B78" s="23"/>
      <c r="C78" s="24"/>
      <c r="D78" s="23"/>
      <c r="E78" s="26"/>
      <c r="F78" s="26"/>
      <c r="G78" s="26"/>
      <c r="H78" s="24"/>
      <c r="I78" s="87"/>
      <c r="J78" s="73"/>
      <c r="K78" s="74"/>
      <c r="L78" s="80"/>
      <c r="M78" s="4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3"/>
      <c r="B79" s="23"/>
      <c r="C79" s="24"/>
      <c r="D79" s="23"/>
      <c r="E79" s="26"/>
      <c r="F79" s="26"/>
      <c r="G79" s="26"/>
      <c r="H79" s="24"/>
      <c r="I79" s="87"/>
      <c r="J79" s="73"/>
      <c r="K79" s="74"/>
      <c r="L79" s="80"/>
      <c r="M79" s="4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3"/>
      <c r="B80" s="23"/>
      <c r="C80" s="24"/>
      <c r="D80" s="23"/>
      <c r="E80" s="26"/>
      <c r="F80" s="26"/>
      <c r="G80" s="26"/>
      <c r="H80" s="24"/>
      <c r="I80" s="87"/>
      <c r="J80" s="88"/>
      <c r="K80" s="89"/>
      <c r="L80" s="90"/>
      <c r="M80" s="35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3"/>
      <c r="B81" s="23"/>
      <c r="C81" s="24"/>
      <c r="D81" s="23"/>
      <c r="E81" s="26"/>
      <c r="F81" s="26"/>
      <c r="G81" s="26"/>
      <c r="H81" s="24"/>
      <c r="I81" s="87"/>
      <c r="J81" s="73"/>
      <c r="K81" s="74"/>
      <c r="L81" s="80"/>
      <c r="M81" s="4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3"/>
      <c r="B82" s="23"/>
      <c r="C82" s="24"/>
      <c r="D82" s="23"/>
      <c r="E82" s="26"/>
      <c r="F82" s="26"/>
      <c r="G82" s="26"/>
      <c r="H82" s="24"/>
      <c r="I82" s="87"/>
      <c r="J82" s="73"/>
      <c r="K82" s="74"/>
      <c r="L82" s="80"/>
      <c r="M82" s="4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3"/>
      <c r="B83" s="23"/>
      <c r="C83" s="24"/>
      <c r="D83" s="23"/>
      <c r="E83" s="26"/>
      <c r="F83" s="26"/>
      <c r="G83" s="26"/>
      <c r="H83" s="24"/>
      <c r="I83" s="87"/>
      <c r="J83" s="88"/>
      <c r="K83" s="89"/>
      <c r="L83" s="90"/>
      <c r="M83" s="35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3"/>
      <c r="B84" s="23"/>
      <c r="C84" s="24"/>
      <c r="D84" s="23"/>
      <c r="E84" s="26"/>
      <c r="F84" s="26"/>
      <c r="G84" s="26"/>
      <c r="H84" s="24"/>
      <c r="I84" s="87"/>
      <c r="J84" s="88"/>
      <c r="K84" s="89"/>
      <c r="L84" s="90"/>
      <c r="M84" s="35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3"/>
      <c r="B85" s="23"/>
      <c r="C85" s="24"/>
      <c r="D85" s="23"/>
      <c r="E85" s="26"/>
      <c r="F85" s="26"/>
      <c r="G85" s="26"/>
      <c r="H85" s="24"/>
      <c r="I85" s="87"/>
      <c r="J85" s="88"/>
      <c r="K85" s="89"/>
      <c r="L85" s="90"/>
      <c r="M85" s="35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3"/>
      <c r="B86" s="23"/>
      <c r="C86" s="24"/>
      <c r="D86" s="23"/>
      <c r="E86" s="26"/>
      <c r="F86" s="26"/>
      <c r="G86" s="26"/>
      <c r="H86" s="24"/>
      <c r="I86" s="87"/>
      <c r="J86" s="88"/>
      <c r="K86" s="89"/>
      <c r="L86" s="90"/>
      <c r="M86" s="35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3"/>
      <c r="B87" s="23"/>
      <c r="C87" s="24"/>
      <c r="D87" s="23"/>
      <c r="E87" s="26"/>
      <c r="F87" s="26"/>
      <c r="G87" s="26"/>
      <c r="H87" s="24"/>
      <c r="I87" s="87"/>
      <c r="J87" s="88"/>
      <c r="K87" s="89"/>
      <c r="L87" s="90"/>
      <c r="M87" s="35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3"/>
      <c r="B88" s="23"/>
      <c r="C88" s="24"/>
      <c r="D88" s="23"/>
      <c r="E88" s="26"/>
      <c r="F88" s="26"/>
      <c r="G88" s="26"/>
      <c r="H88" s="24"/>
      <c r="I88" s="87"/>
      <c r="J88" s="88"/>
      <c r="K88" s="89"/>
      <c r="L88" s="90"/>
      <c r="M88" s="35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3"/>
      <c r="B89" s="23"/>
      <c r="C89" s="24"/>
      <c r="D89" s="23"/>
      <c r="E89" s="26"/>
      <c r="F89" s="26"/>
      <c r="G89" s="26"/>
      <c r="H89" s="24"/>
      <c r="I89" s="87"/>
      <c r="J89" s="88"/>
      <c r="K89" s="89"/>
      <c r="L89" s="90"/>
      <c r="M89" s="35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3"/>
      <c r="B90" s="23"/>
      <c r="C90" s="24"/>
      <c r="D90" s="23"/>
      <c r="E90" s="26"/>
      <c r="F90" s="26"/>
      <c r="G90" s="26"/>
      <c r="H90" s="24"/>
      <c r="I90" s="87"/>
      <c r="J90" s="88"/>
      <c r="K90" s="89"/>
      <c r="L90" s="90"/>
      <c r="M90" s="35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3"/>
      <c r="B91" s="23"/>
      <c r="C91" s="24"/>
      <c r="D91" s="23"/>
      <c r="E91" s="26"/>
      <c r="F91" s="26"/>
      <c r="G91" s="26"/>
      <c r="H91" s="24"/>
      <c r="I91" s="87"/>
      <c r="J91" s="88"/>
      <c r="K91" s="89"/>
      <c r="L91" s="90"/>
      <c r="M91" s="35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3"/>
      <c r="B92" s="23"/>
      <c r="C92" s="24"/>
      <c r="D92" s="23"/>
      <c r="E92" s="26"/>
      <c r="F92" s="26"/>
      <c r="G92" s="26"/>
      <c r="H92" s="24"/>
      <c r="I92" s="87"/>
      <c r="J92" s="88"/>
      <c r="K92" s="89"/>
      <c r="L92" s="90"/>
      <c r="M92" s="35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3"/>
      <c r="B93" s="23"/>
      <c r="C93" s="24"/>
      <c r="D93" s="23"/>
      <c r="E93" s="26"/>
      <c r="F93" s="26"/>
      <c r="G93" s="26"/>
      <c r="H93" s="24"/>
      <c r="I93" s="87"/>
      <c r="J93" s="88"/>
      <c r="K93" s="89"/>
      <c r="L93" s="90"/>
      <c r="M93" s="35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3"/>
      <c r="B94" s="23"/>
      <c r="C94" s="24"/>
      <c r="D94" s="23"/>
      <c r="E94" s="26"/>
      <c r="F94" s="26"/>
      <c r="G94" s="26"/>
      <c r="H94" s="24"/>
      <c r="I94" s="87"/>
      <c r="J94" s="88"/>
      <c r="K94" s="89"/>
      <c r="L94" s="90"/>
      <c r="M94" s="35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3"/>
      <c r="B95" s="23"/>
      <c r="C95" s="24"/>
      <c r="D95" s="23"/>
      <c r="E95" s="26"/>
      <c r="F95" s="26"/>
      <c r="G95" s="26"/>
      <c r="H95" s="24"/>
      <c r="I95" s="87"/>
      <c r="J95" s="88"/>
      <c r="K95" s="89"/>
      <c r="L95" s="90"/>
      <c r="M95" s="35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2"/>
      <c r="B96" s="1"/>
      <c r="C96" s="43"/>
      <c r="D96" s="44"/>
      <c r="E96" s="45"/>
      <c r="F96" s="2"/>
      <c r="G96" s="2"/>
      <c r="H96" s="2"/>
      <c r="I96" s="91"/>
      <c r="J96" s="92"/>
      <c r="K96" s="89"/>
      <c r="L96" s="90"/>
      <c r="M96" s="35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/>
      <c r="B97" s="1"/>
      <c r="C97" s="48"/>
      <c r="D97" s="49"/>
      <c r="E97" s="50"/>
      <c r="F97" s="2"/>
      <c r="G97" s="2"/>
      <c r="H97" s="2"/>
      <c r="I97" s="91"/>
      <c r="J97" s="91"/>
      <c r="K97" s="91"/>
      <c r="L97" s="91"/>
      <c r="M97" s="51">
        <f>SUM(M7:M96)</f>
        <v>575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/>
      <c r="B98" s="52"/>
      <c r="C98" s="43"/>
      <c r="D98" s="2"/>
      <c r="E98" s="2"/>
      <c r="F98" s="2"/>
      <c r="G98" s="2"/>
      <c r="H98" s="2"/>
      <c r="I98" s="91"/>
      <c r="J98" s="91"/>
      <c r="K98" s="91"/>
      <c r="L98" s="9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43"/>
      <c r="D99" s="2"/>
      <c r="E99" s="2"/>
      <c r="F99" s="2"/>
      <c r="G99" s="2"/>
      <c r="H99" s="2"/>
      <c r="I99" s="93"/>
      <c r="J99" s="91"/>
      <c r="K99" s="91"/>
      <c r="L99" s="9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2"/>
      <c r="D100" s="2"/>
      <c r="E100" s="2"/>
      <c r="F100" s="2"/>
      <c r="G100" s="2"/>
      <c r="H100" s="2"/>
      <c r="I100" s="91"/>
      <c r="J100" s="93"/>
      <c r="K100" s="93"/>
      <c r="L100" s="93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2"/>
      <c r="D101" s="2"/>
      <c r="E101" s="2"/>
      <c r="F101" s="2"/>
      <c r="G101" s="2"/>
      <c r="H101" s="2"/>
      <c r="I101" s="91"/>
      <c r="J101" s="91"/>
      <c r="K101" s="91"/>
      <c r="L101" s="9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2"/>
      <c r="D102" s="2"/>
      <c r="E102" s="2"/>
      <c r="F102" s="2"/>
      <c r="G102" s="2"/>
      <c r="H102" s="2"/>
      <c r="I102" s="91"/>
      <c r="J102" s="91"/>
      <c r="K102" s="91"/>
      <c r="L102" s="9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2"/>
      <c r="D103" s="2"/>
      <c r="E103" s="2"/>
      <c r="F103" s="2"/>
      <c r="G103" s="2"/>
      <c r="H103" s="2"/>
      <c r="I103" s="91"/>
      <c r="J103" s="91"/>
      <c r="K103" s="91"/>
      <c r="L103" s="9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2"/>
      <c r="D104" s="2"/>
      <c r="E104" s="2"/>
      <c r="F104" s="2"/>
      <c r="G104" s="2"/>
      <c r="H104" s="2"/>
      <c r="I104" s="91"/>
      <c r="J104" s="91"/>
      <c r="K104" s="91"/>
      <c r="L104" s="9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2"/>
      <c r="D105" s="2"/>
      <c r="E105" s="2"/>
      <c r="F105" s="2"/>
      <c r="G105" s="2"/>
      <c r="H105" s="2"/>
      <c r="I105" s="17" t="s">
        <v>11</v>
      </c>
      <c r="J105" s="91"/>
      <c r="K105" s="91"/>
      <c r="L105" s="9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2"/>
      <c r="D106" s="2"/>
      <c r="E106" s="2"/>
      <c r="F106" s="2"/>
      <c r="G106" s="2"/>
      <c r="H106" s="2"/>
      <c r="I106" s="54">
        <f>SUM(I7:I96)</f>
        <v>0</v>
      </c>
      <c r="J106" s="55" t="s">
        <v>12</v>
      </c>
      <c r="K106" s="94"/>
      <c r="L106" s="95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2"/>
      <c r="D107" s="2"/>
      <c r="E107" s="2"/>
      <c r="F107" s="2"/>
      <c r="G107" s="2"/>
      <c r="H107" s="2"/>
      <c r="I107" s="58">
        <f>SUM(I106*2%)</f>
        <v>0</v>
      </c>
      <c r="J107" s="59">
        <f>SUM(J7:J96)</f>
        <v>650</v>
      </c>
      <c r="K107" s="60" t="s">
        <v>18</v>
      </c>
      <c r="L107" s="95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54">
        <f>SUM(J107*2%)</f>
        <v>13</v>
      </c>
      <c r="K108" s="54">
        <f>SUM(K7:K96)</f>
        <v>0</v>
      </c>
      <c r="L108" s="62" t="s">
        <v>14</v>
      </c>
      <c r="M108" s="3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63"/>
      <c r="K109" s="58">
        <f>SUM(K108*2%)</f>
        <v>0</v>
      </c>
      <c r="L109" s="64">
        <f>SUM(L8:L97)</f>
        <v>350</v>
      </c>
      <c r="M109" s="65" t="s">
        <v>19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58">
        <f>SUM(L109*2%)</f>
        <v>7</v>
      </c>
      <c r="M110" s="66">
        <f>SUM(M97)</f>
        <v>575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4">
    <mergeCell ref="A2:O2"/>
    <mergeCell ref="A3:O3"/>
    <mergeCell ref="A4:O5"/>
    <mergeCell ref="N8:O8"/>
  </mergeCells>
  <dataValidations>
    <dataValidation type="list" allowBlank="1" showErrorMessage="1" sqref="H10">
      <formula1>"Vinicius,Kaua,Caio,Julia,Jhonatas,Diogo,Caio Ferreira,Pamelah,Caio Alves,Camila,Wiliam ,Gabriel ,Fernanda,Kaua Pessoni,Gabriel Batista,Gustavo Pereira,Demetrio ,Caio Vinicius,Wesley,Miriã"</formula1>
    </dataValidation>
    <dataValidation type="list" allowBlank="1" showErrorMessage="1" sqref="A7:A95">
      <formula1>"Pix,Cartão,Pacote ,Pago "</formula1>
    </dataValidation>
    <dataValidation type="list" allowBlank="1" showErrorMessage="1" sqref="D7:D95">
      <formula1>"White board,Cartoon ,3D ,3D personalizado,3D Premium,VSL,Logo,Post,Influencer Pamela,Influencer João B.,3D Estatico ,3D Realista,Edição audio,Pov,Flow,Personalização,Explainer"</formula1>
    </dataValidation>
    <dataValidation type="list" allowBlank="1" showErrorMessage="1" sqref="H7:H9 C7:C95 H11:H95">
      <formula1>"Vinicius,Kaua,Caio,Julia,Jhonatas,Diogo,Caio Ferreira,Pamelah,Caio Alves,Camila,Wiliam ,Gabriel ,Fernanda,Kaua Pessoni,Gabriel Batista,Gustavo Pereira,Demetrio ,Caio Vinicius,Wesley"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88"/>
    <col customWidth="1" min="5" max="5" width="27.63"/>
    <col customWidth="1" min="6" max="6" width="15.63"/>
  </cols>
  <sheetData>
    <row r="1">
      <c r="A1" s="96"/>
      <c r="B1" s="1"/>
      <c r="C1" s="2"/>
      <c r="D1" s="2"/>
      <c r="E1" s="2"/>
      <c r="F1" s="2"/>
      <c r="G1" s="2"/>
      <c r="H1" s="2"/>
      <c r="I1" s="67"/>
      <c r="J1" s="67"/>
      <c r="K1" s="67"/>
      <c r="L1" s="67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7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4" t="s">
        <v>3</v>
      </c>
      <c r="B6" s="15" t="s">
        <v>4</v>
      </c>
      <c r="C6" s="15" t="s">
        <v>5</v>
      </c>
      <c r="D6" s="15" t="s">
        <v>6</v>
      </c>
      <c r="E6" s="15" t="s">
        <v>7</v>
      </c>
      <c r="F6" s="16" t="s">
        <v>8</v>
      </c>
      <c r="G6" s="14" t="s">
        <v>9</v>
      </c>
      <c r="H6" s="14" t="s">
        <v>10</v>
      </c>
      <c r="I6" s="17" t="s">
        <v>11</v>
      </c>
      <c r="J6" s="18" t="s">
        <v>12</v>
      </c>
      <c r="K6" s="19" t="s">
        <v>13</v>
      </c>
      <c r="L6" s="20" t="s">
        <v>14</v>
      </c>
      <c r="M6" s="21" t="s">
        <v>15</v>
      </c>
      <c r="N6" s="2"/>
      <c r="O6" s="2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68" t="s">
        <v>20</v>
      </c>
      <c r="B7" s="23"/>
      <c r="C7" s="82" t="s">
        <v>52</v>
      </c>
      <c r="D7" s="68" t="s">
        <v>24</v>
      </c>
      <c r="E7" s="77" t="s">
        <v>143</v>
      </c>
      <c r="F7" s="26"/>
      <c r="G7" s="78" t="s">
        <v>127</v>
      </c>
      <c r="H7" s="24"/>
      <c r="I7" s="72"/>
      <c r="J7" s="73"/>
      <c r="K7" s="99" t="s">
        <v>125</v>
      </c>
      <c r="L7" s="80"/>
      <c r="M7" s="27" t="s">
        <v>58</v>
      </c>
      <c r="N7" s="18" t="s">
        <v>12</v>
      </c>
      <c r="O7" s="34">
        <f>SUM(J7:J92)</f>
        <v>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3"/>
      <c r="B8" s="23"/>
      <c r="C8" s="24"/>
      <c r="D8" s="68" t="s">
        <v>53</v>
      </c>
      <c r="E8" s="123" t="s">
        <v>144</v>
      </c>
      <c r="F8" s="26"/>
      <c r="G8" s="78" t="s">
        <v>145</v>
      </c>
      <c r="H8" s="24"/>
      <c r="I8" s="72"/>
      <c r="J8" s="73"/>
      <c r="K8" s="99">
        <v>500.0</v>
      </c>
      <c r="L8" s="80"/>
      <c r="M8" s="27">
        <v>250.0</v>
      </c>
      <c r="N8" s="19" t="s">
        <v>13</v>
      </c>
      <c r="O8" s="34">
        <f>SUM(K7:K93)</f>
        <v>850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8" t="s">
        <v>20</v>
      </c>
      <c r="B9" s="23"/>
      <c r="C9" s="82" t="s">
        <v>52</v>
      </c>
      <c r="D9" s="68" t="s">
        <v>24</v>
      </c>
      <c r="E9" s="77" t="s">
        <v>146</v>
      </c>
      <c r="F9" s="26"/>
      <c r="G9" s="78" t="s">
        <v>147</v>
      </c>
      <c r="H9" s="24"/>
      <c r="I9" s="72"/>
      <c r="J9" s="73"/>
      <c r="K9" s="74"/>
      <c r="L9" s="80"/>
      <c r="M9" s="32"/>
      <c r="N9" s="20" t="s">
        <v>14</v>
      </c>
      <c r="O9" s="34">
        <f>SUM(L7:L93)</f>
        <v>210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3"/>
      <c r="B10" s="23"/>
      <c r="C10" s="82" t="s">
        <v>140</v>
      </c>
      <c r="D10" s="68" t="s">
        <v>94</v>
      </c>
      <c r="E10" s="77" t="s">
        <v>148</v>
      </c>
      <c r="F10" s="26"/>
      <c r="G10" s="78" t="s">
        <v>149</v>
      </c>
      <c r="H10" s="24"/>
      <c r="I10" s="72"/>
      <c r="J10" s="73"/>
      <c r="K10" s="99">
        <v>350.0</v>
      </c>
      <c r="L10" s="80"/>
      <c r="M10" s="84">
        <v>350.0</v>
      </c>
      <c r="N10" s="36" t="s">
        <v>17</v>
      </c>
      <c r="O10" s="37">
        <f>SUM(N7:O9)</f>
        <v>1060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3"/>
      <c r="B11" s="23"/>
      <c r="C11" s="24"/>
      <c r="D11" s="68" t="s">
        <v>24</v>
      </c>
      <c r="E11" s="117" t="s">
        <v>89</v>
      </c>
      <c r="F11" s="26"/>
      <c r="G11" s="111" t="s">
        <v>90</v>
      </c>
      <c r="H11" s="24"/>
      <c r="I11" s="72"/>
      <c r="J11" s="73"/>
      <c r="K11" s="74"/>
      <c r="L11" s="75" t="s">
        <v>109</v>
      </c>
      <c r="M11" s="100" t="s">
        <v>58</v>
      </c>
      <c r="N11" s="2"/>
      <c r="O11" s="2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3"/>
      <c r="B12" s="68">
        <v>628.0</v>
      </c>
      <c r="C12" s="24"/>
      <c r="D12" s="68" t="s">
        <v>48</v>
      </c>
      <c r="E12" s="124" t="s">
        <v>150</v>
      </c>
      <c r="F12" s="26"/>
      <c r="G12" s="109" t="s">
        <v>151</v>
      </c>
      <c r="H12" s="24"/>
      <c r="I12" s="72"/>
      <c r="J12" s="73"/>
      <c r="K12" s="74"/>
      <c r="L12" s="75">
        <v>60.0</v>
      </c>
      <c r="M12" s="84">
        <v>60.0</v>
      </c>
      <c r="N12" s="2"/>
      <c r="O12" s="2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3"/>
      <c r="B13" s="23"/>
      <c r="C13" s="24"/>
      <c r="D13" s="68" t="s">
        <v>40</v>
      </c>
      <c r="E13" s="70" t="s">
        <v>152</v>
      </c>
      <c r="F13" s="26"/>
      <c r="G13" s="109" t="s">
        <v>153</v>
      </c>
      <c r="H13" s="24"/>
      <c r="I13" s="72"/>
      <c r="J13" s="73"/>
      <c r="K13" s="74"/>
      <c r="L13" s="75">
        <v>150.0</v>
      </c>
      <c r="M13" s="84">
        <v>150.0</v>
      </c>
      <c r="N13" s="2"/>
      <c r="O13" s="2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3"/>
      <c r="B14" s="23"/>
      <c r="C14" s="24"/>
      <c r="D14" s="23"/>
      <c r="E14" s="26"/>
      <c r="F14" s="26"/>
      <c r="G14" s="26"/>
      <c r="H14" s="24"/>
      <c r="I14" s="72"/>
      <c r="J14" s="73"/>
      <c r="K14" s="74"/>
      <c r="L14" s="80"/>
      <c r="M14" s="35"/>
      <c r="N14" s="2"/>
      <c r="O14" s="2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3"/>
      <c r="B15" s="23"/>
      <c r="C15" s="24"/>
      <c r="D15" s="23"/>
      <c r="E15" s="26"/>
      <c r="F15" s="26"/>
      <c r="G15" s="26"/>
      <c r="H15" s="24"/>
      <c r="I15" s="72"/>
      <c r="J15" s="73"/>
      <c r="K15" s="74"/>
      <c r="L15" s="80"/>
      <c r="M15" s="35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3"/>
      <c r="B16" s="23"/>
      <c r="C16" s="24"/>
      <c r="D16" s="23"/>
      <c r="E16" s="26"/>
      <c r="F16" s="26"/>
      <c r="G16" s="26"/>
      <c r="H16" s="24"/>
      <c r="I16" s="72"/>
      <c r="J16" s="73"/>
      <c r="K16" s="74"/>
      <c r="L16" s="80"/>
      <c r="M16" s="35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3"/>
      <c r="B17" s="23"/>
      <c r="C17" s="24"/>
      <c r="D17" s="23"/>
      <c r="E17" s="26"/>
      <c r="F17" s="26"/>
      <c r="G17" s="26"/>
      <c r="H17" s="24"/>
      <c r="I17" s="72"/>
      <c r="J17" s="73"/>
      <c r="K17" s="74"/>
      <c r="L17" s="80"/>
      <c r="M17" s="35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3"/>
      <c r="B18" s="23"/>
      <c r="C18" s="24"/>
      <c r="D18" s="23"/>
      <c r="E18" s="26"/>
      <c r="F18" s="26"/>
      <c r="G18" s="26"/>
      <c r="H18" s="24"/>
      <c r="I18" s="72"/>
      <c r="J18" s="73"/>
      <c r="K18" s="74"/>
      <c r="L18" s="80"/>
      <c r="M18" s="35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3"/>
      <c r="B19" s="23"/>
      <c r="C19" s="24"/>
      <c r="D19" s="23"/>
      <c r="E19" s="26"/>
      <c r="F19" s="26"/>
      <c r="G19" s="26"/>
      <c r="H19" s="24"/>
      <c r="I19" s="72"/>
      <c r="J19" s="73"/>
      <c r="K19" s="74"/>
      <c r="L19" s="80"/>
      <c r="M19" s="3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3"/>
      <c r="B20" s="23"/>
      <c r="C20" s="24"/>
      <c r="D20" s="23"/>
      <c r="E20" s="26"/>
      <c r="F20" s="26"/>
      <c r="G20" s="26"/>
      <c r="H20" s="24"/>
      <c r="I20" s="72"/>
      <c r="J20" s="73"/>
      <c r="K20" s="74"/>
      <c r="L20" s="80"/>
      <c r="M20" s="3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3"/>
      <c r="B21" s="23"/>
      <c r="C21" s="24"/>
      <c r="D21" s="23"/>
      <c r="E21" s="26"/>
      <c r="F21" s="26"/>
      <c r="G21" s="26"/>
      <c r="H21" s="24"/>
      <c r="I21" s="87"/>
      <c r="J21" s="88"/>
      <c r="K21" s="89"/>
      <c r="L21" s="90"/>
      <c r="M21" s="3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3"/>
      <c r="B22" s="23"/>
      <c r="C22" s="24"/>
      <c r="D22" s="23"/>
      <c r="E22" s="26"/>
      <c r="F22" s="26"/>
      <c r="G22" s="26"/>
      <c r="H22" s="24"/>
      <c r="I22" s="87"/>
      <c r="J22" s="88"/>
      <c r="K22" s="89"/>
      <c r="L22" s="90"/>
      <c r="M22" s="3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3"/>
      <c r="B23" s="23"/>
      <c r="C23" s="24"/>
      <c r="D23" s="23"/>
      <c r="E23" s="26"/>
      <c r="F23" s="26"/>
      <c r="G23" s="26"/>
      <c r="H23" s="24"/>
      <c r="I23" s="87"/>
      <c r="J23" s="88"/>
      <c r="K23" s="89"/>
      <c r="L23" s="90"/>
      <c r="M23" s="3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3"/>
      <c r="B24" s="23"/>
      <c r="C24" s="24"/>
      <c r="D24" s="23"/>
      <c r="E24" s="26"/>
      <c r="F24" s="26"/>
      <c r="G24" s="26"/>
      <c r="H24" s="24"/>
      <c r="I24" s="87"/>
      <c r="J24" s="88"/>
      <c r="K24" s="89"/>
      <c r="L24" s="90"/>
      <c r="M24" s="3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3"/>
      <c r="B25" s="23"/>
      <c r="C25" s="24"/>
      <c r="D25" s="23"/>
      <c r="E25" s="26"/>
      <c r="F25" s="26"/>
      <c r="G25" s="26"/>
      <c r="H25" s="24"/>
      <c r="I25" s="87"/>
      <c r="J25" s="88"/>
      <c r="K25" s="89"/>
      <c r="L25" s="90"/>
      <c r="M25" s="3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3"/>
      <c r="B26" s="23"/>
      <c r="C26" s="24"/>
      <c r="D26" s="23"/>
      <c r="E26" s="26"/>
      <c r="F26" s="26"/>
      <c r="G26" s="26"/>
      <c r="H26" s="24"/>
      <c r="I26" s="87"/>
      <c r="J26" s="88"/>
      <c r="K26" s="89"/>
      <c r="L26" s="90"/>
      <c r="M26" s="3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3"/>
      <c r="B27" s="23"/>
      <c r="C27" s="24"/>
      <c r="D27" s="23"/>
      <c r="E27" s="26"/>
      <c r="F27" s="26"/>
      <c r="G27" s="26"/>
      <c r="H27" s="24"/>
      <c r="I27" s="87"/>
      <c r="J27" s="88"/>
      <c r="K27" s="89"/>
      <c r="L27" s="90"/>
      <c r="M27" s="3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3"/>
      <c r="B28" s="23"/>
      <c r="C28" s="24"/>
      <c r="D28" s="23"/>
      <c r="E28" s="26"/>
      <c r="F28" s="26"/>
      <c r="G28" s="26"/>
      <c r="H28" s="24"/>
      <c r="I28" s="87"/>
      <c r="J28" s="88"/>
      <c r="K28" s="89"/>
      <c r="L28" s="90"/>
      <c r="M28" s="35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3"/>
      <c r="B29" s="23"/>
      <c r="C29" s="24"/>
      <c r="D29" s="23"/>
      <c r="E29" s="26"/>
      <c r="F29" s="26"/>
      <c r="G29" s="26"/>
      <c r="H29" s="24"/>
      <c r="I29" s="87"/>
      <c r="J29" s="88"/>
      <c r="K29" s="89"/>
      <c r="L29" s="90"/>
      <c r="M29" s="3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3"/>
      <c r="B30" s="23"/>
      <c r="C30" s="24"/>
      <c r="D30" s="23"/>
      <c r="E30" s="26"/>
      <c r="F30" s="26"/>
      <c r="G30" s="26"/>
      <c r="H30" s="24"/>
      <c r="I30" s="87"/>
      <c r="J30" s="88"/>
      <c r="K30" s="89"/>
      <c r="L30" s="90"/>
      <c r="M30" s="3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3"/>
      <c r="B31" s="23"/>
      <c r="C31" s="24"/>
      <c r="D31" s="23"/>
      <c r="E31" s="26"/>
      <c r="F31" s="26"/>
      <c r="G31" s="26"/>
      <c r="H31" s="24"/>
      <c r="I31" s="87"/>
      <c r="J31" s="88"/>
      <c r="K31" s="89"/>
      <c r="L31" s="90"/>
      <c r="M31" s="3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3"/>
      <c r="B32" s="23"/>
      <c r="C32" s="24"/>
      <c r="D32" s="23"/>
      <c r="E32" s="26"/>
      <c r="F32" s="26"/>
      <c r="G32" s="26"/>
      <c r="H32" s="24"/>
      <c r="I32" s="87"/>
      <c r="J32" s="88"/>
      <c r="K32" s="89"/>
      <c r="L32" s="90"/>
      <c r="M32" s="3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3"/>
      <c r="B33" s="23"/>
      <c r="C33" s="24"/>
      <c r="D33" s="23"/>
      <c r="E33" s="26"/>
      <c r="F33" s="26"/>
      <c r="G33" s="26"/>
      <c r="H33" s="24"/>
      <c r="I33" s="87"/>
      <c r="J33" s="73"/>
      <c r="K33" s="74"/>
      <c r="L33" s="80"/>
      <c r="M33" s="4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3"/>
      <c r="B34" s="23"/>
      <c r="C34" s="24"/>
      <c r="D34" s="23"/>
      <c r="E34" s="26"/>
      <c r="F34" s="26"/>
      <c r="G34" s="26"/>
      <c r="H34" s="24"/>
      <c r="I34" s="87"/>
      <c r="J34" s="73"/>
      <c r="K34" s="74"/>
      <c r="L34" s="80"/>
      <c r="M34" s="4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3"/>
      <c r="B35" s="23"/>
      <c r="C35" s="24"/>
      <c r="D35" s="23"/>
      <c r="E35" s="26"/>
      <c r="F35" s="26"/>
      <c r="G35" s="26"/>
      <c r="H35" s="24"/>
      <c r="I35" s="87"/>
      <c r="J35" s="73"/>
      <c r="K35" s="74"/>
      <c r="L35" s="80"/>
      <c r="M35" s="4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3"/>
      <c r="B36" s="23"/>
      <c r="C36" s="24"/>
      <c r="D36" s="23"/>
      <c r="E36" s="26"/>
      <c r="F36" s="26"/>
      <c r="G36" s="26"/>
      <c r="H36" s="24"/>
      <c r="I36" s="87"/>
      <c r="J36" s="73"/>
      <c r="K36" s="74"/>
      <c r="L36" s="80"/>
      <c r="M36" s="4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3"/>
      <c r="B37" s="23"/>
      <c r="C37" s="24"/>
      <c r="D37" s="23"/>
      <c r="E37" s="26"/>
      <c r="F37" s="26"/>
      <c r="G37" s="26"/>
      <c r="H37" s="24"/>
      <c r="I37" s="87"/>
      <c r="J37" s="73"/>
      <c r="K37" s="74"/>
      <c r="L37" s="80"/>
      <c r="M37" s="4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3"/>
      <c r="B38" s="23"/>
      <c r="C38" s="24"/>
      <c r="D38" s="23"/>
      <c r="E38" s="26"/>
      <c r="F38" s="26"/>
      <c r="G38" s="26"/>
      <c r="H38" s="24"/>
      <c r="I38" s="87"/>
      <c r="J38" s="73"/>
      <c r="K38" s="74"/>
      <c r="L38" s="80"/>
      <c r="M38" s="4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3"/>
      <c r="B39" s="23"/>
      <c r="C39" s="24"/>
      <c r="D39" s="23"/>
      <c r="E39" s="35"/>
      <c r="F39" s="35"/>
      <c r="G39" s="35"/>
      <c r="H39" s="24"/>
      <c r="I39" s="87"/>
      <c r="J39" s="73"/>
      <c r="K39" s="74"/>
      <c r="L39" s="80"/>
      <c r="M39" s="4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3"/>
      <c r="B40" s="23"/>
      <c r="C40" s="24"/>
      <c r="D40" s="23"/>
      <c r="E40" s="26"/>
      <c r="F40" s="26"/>
      <c r="G40" s="26"/>
      <c r="H40" s="24"/>
      <c r="I40" s="87"/>
      <c r="J40" s="73"/>
      <c r="K40" s="74"/>
      <c r="L40" s="80"/>
      <c r="M40" s="4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3"/>
      <c r="B41" s="23"/>
      <c r="C41" s="24"/>
      <c r="D41" s="23"/>
      <c r="E41" s="26"/>
      <c r="F41" s="26"/>
      <c r="G41" s="26"/>
      <c r="H41" s="24"/>
      <c r="I41" s="87"/>
      <c r="J41" s="73"/>
      <c r="K41" s="74"/>
      <c r="L41" s="80"/>
      <c r="M41" s="4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3"/>
      <c r="B42" s="23"/>
      <c r="C42" s="24"/>
      <c r="D42" s="23"/>
      <c r="E42" s="26"/>
      <c r="F42" s="26"/>
      <c r="G42" s="26"/>
      <c r="H42" s="24"/>
      <c r="I42" s="87"/>
      <c r="J42" s="73"/>
      <c r="K42" s="74"/>
      <c r="L42" s="80"/>
      <c r="M42" s="4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3"/>
      <c r="B43" s="23"/>
      <c r="C43" s="24"/>
      <c r="D43" s="23"/>
      <c r="E43" s="26"/>
      <c r="F43" s="26"/>
      <c r="G43" s="26"/>
      <c r="H43" s="24"/>
      <c r="I43" s="72"/>
      <c r="J43" s="73"/>
      <c r="K43" s="74"/>
      <c r="L43" s="80"/>
      <c r="M43" s="4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3"/>
      <c r="B44" s="23"/>
      <c r="C44" s="24"/>
      <c r="D44" s="23"/>
      <c r="E44" s="26"/>
      <c r="F44" s="26"/>
      <c r="G44" s="26"/>
      <c r="H44" s="24"/>
      <c r="I44" s="72"/>
      <c r="J44" s="73"/>
      <c r="K44" s="74"/>
      <c r="L44" s="80"/>
      <c r="M44" s="4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3"/>
      <c r="B45" s="23"/>
      <c r="C45" s="24"/>
      <c r="D45" s="23"/>
      <c r="E45" s="26"/>
      <c r="F45" s="26"/>
      <c r="G45" s="26"/>
      <c r="H45" s="24"/>
      <c r="I45" s="72"/>
      <c r="J45" s="73"/>
      <c r="K45" s="74"/>
      <c r="L45" s="80"/>
      <c r="M45" s="4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3"/>
      <c r="B46" s="23"/>
      <c r="C46" s="24"/>
      <c r="D46" s="23"/>
      <c r="E46" s="26"/>
      <c r="F46" s="26"/>
      <c r="G46" s="26"/>
      <c r="H46" s="24"/>
      <c r="I46" s="72"/>
      <c r="J46" s="73"/>
      <c r="K46" s="74"/>
      <c r="L46" s="80"/>
      <c r="M46" s="4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3"/>
      <c r="B47" s="23"/>
      <c r="C47" s="24"/>
      <c r="D47" s="23"/>
      <c r="E47" s="26"/>
      <c r="F47" s="26"/>
      <c r="G47" s="26"/>
      <c r="H47" s="24"/>
      <c r="I47" s="87"/>
      <c r="J47" s="73"/>
      <c r="K47" s="74"/>
      <c r="L47" s="80"/>
      <c r="M47" s="4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3"/>
      <c r="B48" s="23"/>
      <c r="C48" s="24"/>
      <c r="D48" s="23"/>
      <c r="E48" s="26"/>
      <c r="F48" s="26"/>
      <c r="G48" s="26"/>
      <c r="H48" s="24"/>
      <c r="I48" s="87"/>
      <c r="J48" s="73"/>
      <c r="K48" s="74"/>
      <c r="L48" s="80"/>
      <c r="M48" s="4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3"/>
      <c r="B49" s="23"/>
      <c r="C49" s="24"/>
      <c r="D49" s="23"/>
      <c r="E49" s="26"/>
      <c r="F49" s="26"/>
      <c r="G49" s="26"/>
      <c r="H49" s="24"/>
      <c r="I49" s="87"/>
      <c r="J49" s="73"/>
      <c r="K49" s="74"/>
      <c r="L49" s="80"/>
      <c r="M49" s="4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3"/>
      <c r="B50" s="23"/>
      <c r="C50" s="24"/>
      <c r="D50" s="23"/>
      <c r="E50" s="26"/>
      <c r="F50" s="26"/>
      <c r="G50" s="26"/>
      <c r="H50" s="24"/>
      <c r="I50" s="87"/>
      <c r="J50" s="73"/>
      <c r="K50" s="74"/>
      <c r="L50" s="80"/>
      <c r="M50" s="4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3"/>
      <c r="B51" s="23"/>
      <c r="C51" s="24"/>
      <c r="D51" s="23"/>
      <c r="E51" s="26"/>
      <c r="F51" s="26"/>
      <c r="G51" s="26"/>
      <c r="H51" s="24"/>
      <c r="I51" s="87"/>
      <c r="J51" s="73"/>
      <c r="K51" s="74"/>
      <c r="L51" s="80"/>
      <c r="M51" s="4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3"/>
      <c r="B52" s="23"/>
      <c r="C52" s="24"/>
      <c r="D52" s="23"/>
      <c r="E52" s="26"/>
      <c r="F52" s="26"/>
      <c r="G52" s="26"/>
      <c r="H52" s="24"/>
      <c r="I52" s="87"/>
      <c r="J52" s="73"/>
      <c r="K52" s="74"/>
      <c r="L52" s="80"/>
      <c r="M52" s="4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3"/>
      <c r="B53" s="23"/>
      <c r="C53" s="24"/>
      <c r="D53" s="23"/>
      <c r="E53" s="26"/>
      <c r="F53" s="26"/>
      <c r="G53" s="26"/>
      <c r="H53" s="24"/>
      <c r="I53" s="87"/>
      <c r="J53" s="73"/>
      <c r="K53" s="74"/>
      <c r="L53" s="80"/>
      <c r="M53" s="4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3"/>
      <c r="B54" s="23"/>
      <c r="C54" s="24"/>
      <c r="D54" s="23"/>
      <c r="E54" s="26"/>
      <c r="F54" s="26"/>
      <c r="G54" s="26"/>
      <c r="H54" s="24"/>
      <c r="I54" s="87"/>
      <c r="J54" s="88"/>
      <c r="K54" s="89"/>
      <c r="L54" s="90"/>
      <c r="M54" s="35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3"/>
      <c r="B55" s="23"/>
      <c r="C55" s="24"/>
      <c r="D55" s="23"/>
      <c r="E55" s="26"/>
      <c r="F55" s="26"/>
      <c r="G55" s="26"/>
      <c r="H55" s="24"/>
      <c r="I55" s="87"/>
      <c r="J55" s="73"/>
      <c r="K55" s="74"/>
      <c r="L55" s="80"/>
      <c r="M55" s="4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3"/>
      <c r="B56" s="23"/>
      <c r="C56" s="24"/>
      <c r="D56" s="23"/>
      <c r="E56" s="26"/>
      <c r="F56" s="26"/>
      <c r="G56" s="26"/>
      <c r="H56" s="24"/>
      <c r="I56" s="87"/>
      <c r="J56" s="73"/>
      <c r="K56" s="74"/>
      <c r="L56" s="80"/>
      <c r="M56" s="4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3"/>
      <c r="B57" s="23"/>
      <c r="C57" s="24"/>
      <c r="D57" s="23"/>
      <c r="E57" s="26"/>
      <c r="F57" s="26"/>
      <c r="G57" s="26"/>
      <c r="H57" s="24"/>
      <c r="I57" s="87"/>
      <c r="J57" s="73"/>
      <c r="K57" s="74"/>
      <c r="L57" s="80"/>
      <c r="M57" s="4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3"/>
      <c r="B58" s="23"/>
      <c r="C58" s="24"/>
      <c r="D58" s="23"/>
      <c r="E58" s="26"/>
      <c r="F58" s="26"/>
      <c r="G58" s="26"/>
      <c r="H58" s="24"/>
      <c r="I58" s="87"/>
      <c r="J58" s="73"/>
      <c r="K58" s="74"/>
      <c r="L58" s="80"/>
      <c r="M58" s="4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3"/>
      <c r="B59" s="23"/>
      <c r="C59" s="24"/>
      <c r="D59" s="23"/>
      <c r="E59" s="26"/>
      <c r="F59" s="26"/>
      <c r="G59" s="26"/>
      <c r="H59" s="24"/>
      <c r="I59" s="87"/>
      <c r="J59" s="73"/>
      <c r="K59" s="74"/>
      <c r="L59" s="80"/>
      <c r="M59" s="4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3"/>
      <c r="B60" s="23"/>
      <c r="C60" s="24"/>
      <c r="D60" s="23"/>
      <c r="E60" s="26"/>
      <c r="F60" s="26"/>
      <c r="G60" s="26"/>
      <c r="H60" s="24"/>
      <c r="I60" s="87"/>
      <c r="J60" s="73"/>
      <c r="K60" s="74"/>
      <c r="L60" s="80"/>
      <c r="M60" s="4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3"/>
      <c r="B61" s="23"/>
      <c r="C61" s="24"/>
      <c r="D61" s="23"/>
      <c r="E61" s="26"/>
      <c r="F61" s="26"/>
      <c r="G61" s="26"/>
      <c r="H61" s="24"/>
      <c r="I61" s="87"/>
      <c r="J61" s="73"/>
      <c r="K61" s="74"/>
      <c r="L61" s="80"/>
      <c r="M61" s="4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3"/>
      <c r="B62" s="23"/>
      <c r="C62" s="24"/>
      <c r="D62" s="23"/>
      <c r="E62" s="26"/>
      <c r="F62" s="26"/>
      <c r="G62" s="26"/>
      <c r="H62" s="24"/>
      <c r="I62" s="87"/>
      <c r="J62" s="73"/>
      <c r="K62" s="74"/>
      <c r="L62" s="80"/>
      <c r="M62" s="4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3"/>
      <c r="B63" s="23"/>
      <c r="C63" s="24"/>
      <c r="D63" s="23"/>
      <c r="E63" s="26"/>
      <c r="F63" s="26"/>
      <c r="G63" s="26"/>
      <c r="H63" s="24"/>
      <c r="I63" s="87"/>
      <c r="J63" s="73"/>
      <c r="K63" s="74"/>
      <c r="L63" s="80"/>
      <c r="M63" s="4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3"/>
      <c r="B64" s="23"/>
      <c r="C64" s="24"/>
      <c r="D64" s="23"/>
      <c r="E64" s="26"/>
      <c r="F64" s="26"/>
      <c r="G64" s="26"/>
      <c r="H64" s="24"/>
      <c r="I64" s="87"/>
      <c r="J64" s="73"/>
      <c r="K64" s="74"/>
      <c r="L64" s="80"/>
      <c r="M64" s="4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3"/>
      <c r="B65" s="23"/>
      <c r="C65" s="24"/>
      <c r="D65" s="23"/>
      <c r="E65" s="26"/>
      <c r="F65" s="26"/>
      <c r="G65" s="26"/>
      <c r="H65" s="24"/>
      <c r="I65" s="87"/>
      <c r="J65" s="73"/>
      <c r="K65" s="74"/>
      <c r="L65" s="80"/>
      <c r="M65" s="4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3"/>
      <c r="B66" s="23"/>
      <c r="C66" s="24"/>
      <c r="D66" s="23"/>
      <c r="E66" s="26"/>
      <c r="F66" s="26"/>
      <c r="G66" s="26"/>
      <c r="H66" s="24"/>
      <c r="I66" s="87"/>
      <c r="J66" s="73"/>
      <c r="K66" s="74"/>
      <c r="L66" s="80"/>
      <c r="M66" s="4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3"/>
      <c r="B67" s="23"/>
      <c r="C67" s="24"/>
      <c r="D67" s="23"/>
      <c r="E67" s="26"/>
      <c r="F67" s="26"/>
      <c r="G67" s="26"/>
      <c r="H67" s="24"/>
      <c r="I67" s="87"/>
      <c r="J67" s="73"/>
      <c r="K67" s="74"/>
      <c r="L67" s="80"/>
      <c r="M67" s="4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3"/>
      <c r="B68" s="23"/>
      <c r="C68" s="24"/>
      <c r="D68" s="23"/>
      <c r="E68" s="26"/>
      <c r="F68" s="26"/>
      <c r="G68" s="26"/>
      <c r="H68" s="24"/>
      <c r="I68" s="87"/>
      <c r="J68" s="73"/>
      <c r="K68" s="74"/>
      <c r="L68" s="80"/>
      <c r="M68" s="4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3"/>
      <c r="B69" s="23"/>
      <c r="C69" s="24"/>
      <c r="D69" s="23"/>
      <c r="E69" s="26"/>
      <c r="F69" s="26"/>
      <c r="G69" s="26"/>
      <c r="H69" s="24"/>
      <c r="I69" s="87"/>
      <c r="J69" s="73"/>
      <c r="K69" s="74"/>
      <c r="L69" s="80"/>
      <c r="M69" s="4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3"/>
      <c r="B70" s="23"/>
      <c r="C70" s="24"/>
      <c r="D70" s="23"/>
      <c r="E70" s="26"/>
      <c r="F70" s="26"/>
      <c r="G70" s="26"/>
      <c r="H70" s="24"/>
      <c r="I70" s="87"/>
      <c r="J70" s="88"/>
      <c r="K70" s="89"/>
      <c r="L70" s="90"/>
      <c r="M70" s="35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3"/>
      <c r="B71" s="23"/>
      <c r="C71" s="24"/>
      <c r="D71" s="23"/>
      <c r="E71" s="26"/>
      <c r="F71" s="26"/>
      <c r="G71" s="26"/>
      <c r="H71" s="24"/>
      <c r="I71" s="87"/>
      <c r="J71" s="73"/>
      <c r="K71" s="74"/>
      <c r="L71" s="80"/>
      <c r="M71" s="4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3"/>
      <c r="B72" s="23"/>
      <c r="C72" s="24"/>
      <c r="D72" s="23"/>
      <c r="E72" s="26"/>
      <c r="F72" s="26"/>
      <c r="G72" s="26"/>
      <c r="H72" s="24"/>
      <c r="I72" s="87"/>
      <c r="J72" s="73"/>
      <c r="K72" s="74"/>
      <c r="L72" s="80"/>
      <c r="M72" s="4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3"/>
      <c r="B73" s="23"/>
      <c r="C73" s="24"/>
      <c r="D73" s="23"/>
      <c r="E73" s="26"/>
      <c r="F73" s="26"/>
      <c r="G73" s="26"/>
      <c r="H73" s="24"/>
      <c r="I73" s="87"/>
      <c r="J73" s="73"/>
      <c r="K73" s="74"/>
      <c r="L73" s="80"/>
      <c r="M73" s="4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3"/>
      <c r="B74" s="23"/>
      <c r="C74" s="24"/>
      <c r="D74" s="23"/>
      <c r="E74" s="26"/>
      <c r="F74" s="26"/>
      <c r="G74" s="26"/>
      <c r="H74" s="24"/>
      <c r="I74" s="87"/>
      <c r="J74" s="73"/>
      <c r="K74" s="74"/>
      <c r="L74" s="80"/>
      <c r="M74" s="4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3"/>
      <c r="B75" s="23"/>
      <c r="C75" s="24"/>
      <c r="D75" s="23"/>
      <c r="E75" s="26"/>
      <c r="F75" s="26"/>
      <c r="G75" s="26"/>
      <c r="H75" s="24"/>
      <c r="I75" s="87"/>
      <c r="J75" s="73"/>
      <c r="K75" s="74"/>
      <c r="L75" s="80"/>
      <c r="M75" s="4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3"/>
      <c r="B76" s="23"/>
      <c r="C76" s="24"/>
      <c r="D76" s="23"/>
      <c r="E76" s="26"/>
      <c r="F76" s="26"/>
      <c r="G76" s="26"/>
      <c r="H76" s="24"/>
      <c r="I76" s="87"/>
      <c r="J76" s="73"/>
      <c r="K76" s="74"/>
      <c r="L76" s="80"/>
      <c r="M76" s="4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3"/>
      <c r="B77" s="23"/>
      <c r="C77" s="24"/>
      <c r="D77" s="23"/>
      <c r="E77" s="26"/>
      <c r="F77" s="26"/>
      <c r="G77" s="26"/>
      <c r="H77" s="24"/>
      <c r="I77" s="87"/>
      <c r="J77" s="88"/>
      <c r="K77" s="89"/>
      <c r="L77" s="90"/>
      <c r="M77" s="35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3"/>
      <c r="B78" s="23"/>
      <c r="C78" s="24"/>
      <c r="D78" s="23"/>
      <c r="E78" s="26"/>
      <c r="F78" s="26"/>
      <c r="G78" s="26"/>
      <c r="H78" s="24"/>
      <c r="I78" s="87"/>
      <c r="J78" s="73"/>
      <c r="K78" s="74"/>
      <c r="L78" s="80"/>
      <c r="M78" s="4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3"/>
      <c r="B79" s="23"/>
      <c r="C79" s="24"/>
      <c r="D79" s="23"/>
      <c r="E79" s="26"/>
      <c r="F79" s="26"/>
      <c r="G79" s="26"/>
      <c r="H79" s="24"/>
      <c r="I79" s="87"/>
      <c r="J79" s="73"/>
      <c r="K79" s="74"/>
      <c r="L79" s="80"/>
      <c r="M79" s="4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3"/>
      <c r="B80" s="23"/>
      <c r="C80" s="24"/>
      <c r="D80" s="23"/>
      <c r="E80" s="26"/>
      <c r="F80" s="26"/>
      <c r="G80" s="26"/>
      <c r="H80" s="24"/>
      <c r="I80" s="87"/>
      <c r="J80" s="88"/>
      <c r="K80" s="89"/>
      <c r="L80" s="90"/>
      <c r="M80" s="35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3"/>
      <c r="B81" s="23"/>
      <c r="C81" s="24"/>
      <c r="D81" s="23"/>
      <c r="E81" s="26"/>
      <c r="F81" s="26"/>
      <c r="G81" s="26"/>
      <c r="H81" s="24"/>
      <c r="I81" s="87"/>
      <c r="J81" s="88"/>
      <c r="K81" s="89"/>
      <c r="L81" s="90"/>
      <c r="M81" s="35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3"/>
      <c r="B82" s="23"/>
      <c r="C82" s="24"/>
      <c r="D82" s="23"/>
      <c r="E82" s="26"/>
      <c r="F82" s="26"/>
      <c r="G82" s="26"/>
      <c r="H82" s="24"/>
      <c r="I82" s="87"/>
      <c r="J82" s="88"/>
      <c r="K82" s="89"/>
      <c r="L82" s="90"/>
      <c r="M82" s="35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3"/>
      <c r="B83" s="23"/>
      <c r="C83" s="24"/>
      <c r="D83" s="23"/>
      <c r="E83" s="26"/>
      <c r="F83" s="26"/>
      <c r="G83" s="26"/>
      <c r="H83" s="24"/>
      <c r="I83" s="87"/>
      <c r="J83" s="88"/>
      <c r="K83" s="89"/>
      <c r="L83" s="90"/>
      <c r="M83" s="35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3"/>
      <c r="B84" s="23"/>
      <c r="C84" s="24"/>
      <c r="D84" s="23"/>
      <c r="E84" s="26"/>
      <c r="F84" s="26"/>
      <c r="G84" s="26"/>
      <c r="H84" s="24"/>
      <c r="I84" s="87"/>
      <c r="J84" s="88"/>
      <c r="K84" s="89"/>
      <c r="L84" s="90"/>
      <c r="M84" s="35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3"/>
      <c r="B85" s="23"/>
      <c r="C85" s="24"/>
      <c r="D85" s="23"/>
      <c r="E85" s="26"/>
      <c r="F85" s="26"/>
      <c r="G85" s="26"/>
      <c r="H85" s="24"/>
      <c r="I85" s="87"/>
      <c r="J85" s="88"/>
      <c r="K85" s="89"/>
      <c r="L85" s="90"/>
      <c r="M85" s="35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3"/>
      <c r="B86" s="23"/>
      <c r="C86" s="24"/>
      <c r="D86" s="23"/>
      <c r="E86" s="26"/>
      <c r="F86" s="26"/>
      <c r="G86" s="26"/>
      <c r="H86" s="24"/>
      <c r="I86" s="87"/>
      <c r="J86" s="88"/>
      <c r="K86" s="89"/>
      <c r="L86" s="90"/>
      <c r="M86" s="35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3"/>
      <c r="B87" s="23"/>
      <c r="C87" s="24"/>
      <c r="D87" s="23"/>
      <c r="E87" s="26"/>
      <c r="F87" s="26"/>
      <c r="G87" s="26"/>
      <c r="H87" s="24"/>
      <c r="I87" s="87"/>
      <c r="J87" s="88"/>
      <c r="K87" s="89"/>
      <c r="L87" s="90"/>
      <c r="M87" s="35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3"/>
      <c r="B88" s="23"/>
      <c r="C88" s="24"/>
      <c r="D88" s="23"/>
      <c r="E88" s="26"/>
      <c r="F88" s="26"/>
      <c r="G88" s="26"/>
      <c r="H88" s="24"/>
      <c r="I88" s="87"/>
      <c r="J88" s="88"/>
      <c r="K88" s="89"/>
      <c r="L88" s="90"/>
      <c r="M88" s="35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3"/>
      <c r="B89" s="23"/>
      <c r="C89" s="24"/>
      <c r="D89" s="23"/>
      <c r="E89" s="26"/>
      <c r="F89" s="26"/>
      <c r="G89" s="26"/>
      <c r="H89" s="24"/>
      <c r="I89" s="87"/>
      <c r="J89" s="88"/>
      <c r="K89" s="89"/>
      <c r="L89" s="90"/>
      <c r="M89" s="35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3"/>
      <c r="B90" s="23"/>
      <c r="C90" s="24"/>
      <c r="D90" s="23"/>
      <c r="E90" s="26"/>
      <c r="F90" s="26"/>
      <c r="G90" s="26"/>
      <c r="H90" s="24"/>
      <c r="I90" s="87"/>
      <c r="J90" s="88"/>
      <c r="K90" s="89"/>
      <c r="L90" s="90"/>
      <c r="M90" s="35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3"/>
      <c r="B91" s="23"/>
      <c r="C91" s="24"/>
      <c r="D91" s="23"/>
      <c r="E91" s="26"/>
      <c r="F91" s="26"/>
      <c r="G91" s="26"/>
      <c r="H91" s="24"/>
      <c r="I91" s="87"/>
      <c r="J91" s="88"/>
      <c r="K91" s="89"/>
      <c r="L91" s="90"/>
      <c r="M91" s="35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3"/>
      <c r="B92" s="23"/>
      <c r="C92" s="24"/>
      <c r="D92" s="23"/>
      <c r="E92" s="26"/>
      <c r="F92" s="26"/>
      <c r="G92" s="26"/>
      <c r="H92" s="24"/>
      <c r="I92" s="87"/>
      <c r="J92" s="88"/>
      <c r="K92" s="89"/>
      <c r="L92" s="90"/>
      <c r="M92" s="35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"/>
      <c r="B93" s="1"/>
      <c r="C93" s="43"/>
      <c r="D93" s="44"/>
      <c r="E93" s="45"/>
      <c r="F93" s="2"/>
      <c r="G93" s="2"/>
      <c r="H93" s="2"/>
      <c r="I93" s="91"/>
      <c r="J93" s="92"/>
      <c r="K93" s="89"/>
      <c r="L93" s="90"/>
      <c r="M93" s="35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"/>
      <c r="B94" s="1"/>
      <c r="C94" s="48"/>
      <c r="D94" s="49"/>
      <c r="E94" s="50"/>
      <c r="F94" s="2"/>
      <c r="G94" s="2"/>
      <c r="H94" s="2"/>
      <c r="I94" s="91"/>
      <c r="J94" s="91"/>
      <c r="K94" s="91"/>
      <c r="L94" s="91"/>
      <c r="M94" s="51">
        <f>SUM(M7:M93)</f>
        <v>810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"/>
      <c r="B95" s="52"/>
      <c r="C95" s="43"/>
      <c r="D95" s="2"/>
      <c r="E95" s="2"/>
      <c r="F95" s="2"/>
      <c r="G95" s="2"/>
      <c r="H95" s="2"/>
      <c r="I95" s="91"/>
      <c r="J95" s="91"/>
      <c r="K95" s="91"/>
      <c r="L95" s="9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43"/>
      <c r="D96" s="2"/>
      <c r="E96" s="2"/>
      <c r="F96" s="2"/>
      <c r="G96" s="2"/>
      <c r="H96" s="2"/>
      <c r="I96" s="93"/>
      <c r="J96" s="91"/>
      <c r="K96" s="91"/>
      <c r="L96" s="9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2"/>
      <c r="D97" s="2"/>
      <c r="E97" s="2"/>
      <c r="F97" s="2"/>
      <c r="G97" s="2"/>
      <c r="H97" s="2"/>
      <c r="I97" s="91"/>
      <c r="J97" s="93"/>
      <c r="K97" s="93"/>
      <c r="L97" s="93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2"/>
      <c r="D98" s="2"/>
      <c r="E98" s="2"/>
      <c r="F98" s="2"/>
      <c r="G98" s="2"/>
      <c r="H98" s="2"/>
      <c r="I98" s="91"/>
      <c r="J98" s="91"/>
      <c r="K98" s="91"/>
      <c r="L98" s="9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2"/>
      <c r="D99" s="2"/>
      <c r="E99" s="2"/>
      <c r="F99" s="2"/>
      <c r="G99" s="2"/>
      <c r="H99" s="2"/>
      <c r="I99" s="91"/>
      <c r="J99" s="91"/>
      <c r="K99" s="91"/>
      <c r="L99" s="9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2"/>
      <c r="D100" s="2"/>
      <c r="E100" s="2"/>
      <c r="F100" s="2"/>
      <c r="G100" s="2"/>
      <c r="H100" s="2"/>
      <c r="I100" s="91"/>
      <c r="J100" s="91"/>
      <c r="K100" s="91"/>
      <c r="L100" s="9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2"/>
      <c r="D101" s="2"/>
      <c r="E101" s="2"/>
      <c r="F101" s="2"/>
      <c r="G101" s="2"/>
      <c r="H101" s="2"/>
      <c r="I101" s="91"/>
      <c r="J101" s="91"/>
      <c r="K101" s="91"/>
      <c r="L101" s="9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2"/>
      <c r="D102" s="2"/>
      <c r="E102" s="2"/>
      <c r="F102" s="2"/>
      <c r="G102" s="2"/>
      <c r="H102" s="2"/>
      <c r="I102" s="17" t="s">
        <v>11</v>
      </c>
      <c r="J102" s="91"/>
      <c r="K102" s="91"/>
      <c r="L102" s="9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2"/>
      <c r="D103" s="2"/>
      <c r="E103" s="2"/>
      <c r="F103" s="2"/>
      <c r="G103" s="2"/>
      <c r="H103" s="2"/>
      <c r="I103" s="54">
        <f>SUM(I7:I93)</f>
        <v>0</v>
      </c>
      <c r="J103" s="55" t="s">
        <v>12</v>
      </c>
      <c r="K103" s="94"/>
      <c r="L103" s="95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2"/>
      <c r="D104" s="2"/>
      <c r="E104" s="2"/>
      <c r="F104" s="2"/>
      <c r="G104" s="2"/>
      <c r="H104" s="2"/>
      <c r="I104" s="58">
        <f>SUM(I103*2%)</f>
        <v>0</v>
      </c>
      <c r="J104" s="59">
        <f>SUM(J7:J93)</f>
        <v>0</v>
      </c>
      <c r="K104" s="60" t="s">
        <v>18</v>
      </c>
      <c r="L104" s="95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54">
        <f>SUM(J104*2%)</f>
        <v>0</v>
      </c>
      <c r="K105" s="54">
        <f>SUM(K7:K93)</f>
        <v>850</v>
      </c>
      <c r="L105" s="62" t="s">
        <v>14</v>
      </c>
      <c r="M105" s="3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63"/>
      <c r="K106" s="58">
        <f>SUM(K105*2%)</f>
        <v>17</v>
      </c>
      <c r="L106" s="64">
        <f>SUM(L7:L94)</f>
        <v>210</v>
      </c>
      <c r="M106" s="65" t="s">
        <v>19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58">
        <f>SUM(L106*2%)</f>
        <v>4.2</v>
      </c>
      <c r="M107" s="66">
        <f>SUM(M94)</f>
        <v>810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3">
    <mergeCell ref="A2:O2"/>
    <mergeCell ref="A3:O3"/>
    <mergeCell ref="A4:O5"/>
  </mergeCells>
  <dataValidations>
    <dataValidation type="list" allowBlank="1" showErrorMessage="1" sqref="A7:A92">
      <formula1>"Pix,Cartão,Pacote ,Pago "</formula1>
    </dataValidation>
    <dataValidation type="list" allowBlank="1" showErrorMessage="1" sqref="D7:D92">
      <formula1>"White board,Cartoon ,3D ,3D personalizado,3D Premium,VSL,Logo,Post,Influencer Pamela,Influencer João B.,3D Estatico ,3D Realista,Edição audio,Pov,Flow,Personalização,Explainer"</formula1>
    </dataValidation>
    <dataValidation type="list" allowBlank="1" showErrorMessage="1" sqref="C7:C92 H7:H92">
      <formula1>"Vinicius,Kaua,Caio,Julia,Jhonatas,Diogo,Caio Ferreira,Pamelah,Caio Alves,Camila,Wiliam ,Gabriel ,Fernanda,Kaua Pessoni,Gabriel Batista,Gustavo Pereira,Demetrio ,Caio Vinicius,Wesley"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0"/>
    <col customWidth="1" min="6" max="6" width="15.63"/>
  </cols>
  <sheetData>
    <row r="1">
      <c r="A1" s="1"/>
      <c r="B1" s="1"/>
      <c r="C1" s="2"/>
      <c r="D1" s="2"/>
      <c r="E1" s="2"/>
      <c r="F1" s="2"/>
      <c r="G1" s="2"/>
      <c r="H1" s="2"/>
      <c r="I1" s="67"/>
      <c r="J1" s="67"/>
      <c r="K1" s="67"/>
      <c r="L1" s="67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7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4" t="s">
        <v>3</v>
      </c>
      <c r="B6" s="15" t="s">
        <v>4</v>
      </c>
      <c r="C6" s="15" t="s">
        <v>5</v>
      </c>
      <c r="D6" s="15" t="s">
        <v>6</v>
      </c>
      <c r="E6" s="15" t="s">
        <v>7</v>
      </c>
      <c r="F6" s="16" t="s">
        <v>8</v>
      </c>
      <c r="G6" s="14" t="s">
        <v>9</v>
      </c>
      <c r="H6" s="14" t="s">
        <v>10</v>
      </c>
      <c r="I6" s="17" t="s">
        <v>11</v>
      </c>
      <c r="J6" s="18" t="s">
        <v>12</v>
      </c>
      <c r="K6" s="19" t="s">
        <v>13</v>
      </c>
      <c r="L6" s="20" t="s">
        <v>14</v>
      </c>
      <c r="M6" s="21" t="s">
        <v>15</v>
      </c>
      <c r="N6" s="2"/>
      <c r="O6" s="2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3"/>
      <c r="B7" s="23"/>
      <c r="C7" s="24"/>
      <c r="D7" s="68" t="s">
        <v>53</v>
      </c>
      <c r="E7" s="77" t="s">
        <v>154</v>
      </c>
      <c r="F7" s="25"/>
      <c r="G7" s="78" t="s">
        <v>155</v>
      </c>
      <c r="H7" s="27"/>
      <c r="I7" s="72"/>
      <c r="J7" s="73"/>
      <c r="K7" s="74"/>
      <c r="L7" s="75">
        <v>250.0</v>
      </c>
      <c r="M7" s="84">
        <v>250.0</v>
      </c>
      <c r="N7" s="2"/>
      <c r="O7" s="22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3"/>
      <c r="B8" s="23"/>
      <c r="C8" s="24"/>
      <c r="D8" s="68" t="s">
        <v>48</v>
      </c>
      <c r="E8" s="77" t="s">
        <v>117</v>
      </c>
      <c r="F8" s="26"/>
      <c r="G8" s="78" t="s">
        <v>118</v>
      </c>
      <c r="H8" s="24"/>
      <c r="I8" s="72"/>
      <c r="J8" s="73"/>
      <c r="K8" s="74"/>
      <c r="L8" s="75">
        <v>60.0</v>
      </c>
      <c r="M8" s="84">
        <v>60.0</v>
      </c>
      <c r="N8" s="33" t="s">
        <v>16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3"/>
      <c r="B9" s="23"/>
      <c r="C9" s="24"/>
      <c r="D9" s="68" t="s">
        <v>24</v>
      </c>
      <c r="E9" s="70" t="s">
        <v>156</v>
      </c>
      <c r="F9" s="26"/>
      <c r="G9" s="109" t="s">
        <v>157</v>
      </c>
      <c r="H9" s="24"/>
      <c r="I9" s="72"/>
      <c r="J9" s="73"/>
      <c r="K9" s="74"/>
      <c r="L9" s="75">
        <v>250.0</v>
      </c>
      <c r="M9" s="84">
        <v>150.0</v>
      </c>
      <c r="N9" s="17" t="s">
        <v>11</v>
      </c>
      <c r="O9" s="34">
        <f>SUM(I6:I95)</f>
        <v>200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3"/>
      <c r="B10" s="23"/>
      <c r="C10" s="24"/>
      <c r="D10" s="68" t="s">
        <v>24</v>
      </c>
      <c r="E10" s="77" t="s">
        <v>158</v>
      </c>
      <c r="F10" s="26"/>
      <c r="G10" s="78" t="s">
        <v>159</v>
      </c>
      <c r="H10" s="24"/>
      <c r="I10" s="72"/>
      <c r="J10" s="73"/>
      <c r="K10" s="74"/>
      <c r="L10" s="75">
        <v>197.0</v>
      </c>
      <c r="M10" s="84">
        <v>197.0</v>
      </c>
      <c r="N10" s="18" t="s">
        <v>12</v>
      </c>
      <c r="O10" s="34">
        <f>SUM(J7:J95)</f>
        <v>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68" t="s">
        <v>20</v>
      </c>
      <c r="B11" s="23"/>
      <c r="C11" s="24"/>
      <c r="D11" s="68" t="s">
        <v>53</v>
      </c>
      <c r="E11" s="125" t="s">
        <v>160</v>
      </c>
      <c r="F11" s="26"/>
      <c r="G11" s="78" t="s">
        <v>161</v>
      </c>
      <c r="H11" s="24"/>
      <c r="I11" s="83">
        <v>200.0</v>
      </c>
      <c r="J11" s="73"/>
      <c r="K11" s="74"/>
      <c r="L11" s="80"/>
      <c r="M11" s="32"/>
      <c r="N11" s="19" t="s">
        <v>13</v>
      </c>
      <c r="O11" s="34">
        <f>SUM(K7:K96)</f>
        <v>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3"/>
      <c r="B12" s="23"/>
      <c r="C12" s="24"/>
      <c r="D12" s="23"/>
      <c r="E12" s="23"/>
      <c r="F12" s="26"/>
      <c r="G12" s="26"/>
      <c r="H12" s="24"/>
      <c r="I12" s="72"/>
      <c r="J12" s="73"/>
      <c r="K12" s="74"/>
      <c r="L12" s="80"/>
      <c r="M12" s="32"/>
      <c r="N12" s="20" t="s">
        <v>14</v>
      </c>
      <c r="O12" s="34">
        <f>SUM(L7:L96)</f>
        <v>757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3"/>
      <c r="B13" s="23"/>
      <c r="C13" s="24"/>
      <c r="D13" s="23"/>
      <c r="E13" s="26"/>
      <c r="F13" s="26"/>
      <c r="G13" s="26"/>
      <c r="H13" s="24"/>
      <c r="I13" s="72"/>
      <c r="J13" s="73"/>
      <c r="K13" s="74"/>
      <c r="L13" s="80"/>
      <c r="M13" s="35"/>
      <c r="N13" s="36" t="s">
        <v>17</v>
      </c>
      <c r="O13" s="37">
        <f>SUM(N8:O12)</f>
        <v>957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3"/>
      <c r="B14" s="23"/>
      <c r="C14" s="24"/>
      <c r="D14" s="23"/>
      <c r="E14" s="26"/>
      <c r="F14" s="26"/>
      <c r="G14" s="26"/>
      <c r="H14" s="24"/>
      <c r="I14" s="72"/>
      <c r="J14" s="73"/>
      <c r="K14" s="74"/>
      <c r="L14" s="80"/>
      <c r="M14" s="35"/>
      <c r="N14" s="2"/>
      <c r="O14" s="2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3"/>
      <c r="B15" s="23"/>
      <c r="C15" s="24"/>
      <c r="D15" s="23"/>
      <c r="E15" s="26"/>
      <c r="F15" s="26"/>
      <c r="G15" s="26"/>
      <c r="H15" s="24"/>
      <c r="I15" s="72"/>
      <c r="J15" s="73"/>
      <c r="K15" s="74"/>
      <c r="L15" s="80"/>
      <c r="M15" s="35"/>
      <c r="N15" s="2"/>
      <c r="O15" s="2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3"/>
      <c r="B16" s="23"/>
      <c r="C16" s="24"/>
      <c r="D16" s="23"/>
      <c r="E16" s="26"/>
      <c r="F16" s="26"/>
      <c r="G16" s="26"/>
      <c r="H16" s="24"/>
      <c r="I16" s="72"/>
      <c r="J16" s="73"/>
      <c r="K16" s="74"/>
      <c r="L16" s="80"/>
      <c r="M16" s="35"/>
      <c r="N16" s="2"/>
      <c r="O16" s="2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3"/>
      <c r="B17" s="23"/>
      <c r="C17" s="24"/>
      <c r="D17" s="23"/>
      <c r="E17" s="26"/>
      <c r="F17" s="26"/>
      <c r="G17" s="26"/>
      <c r="H17" s="24"/>
      <c r="I17" s="72"/>
      <c r="J17" s="73"/>
      <c r="K17" s="74"/>
      <c r="L17" s="80"/>
      <c r="M17" s="35"/>
      <c r="N17" s="2"/>
      <c r="O17" s="2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3"/>
      <c r="B18" s="23"/>
      <c r="C18" s="24"/>
      <c r="D18" s="23"/>
      <c r="E18" s="26"/>
      <c r="F18" s="26"/>
      <c r="G18" s="26"/>
      <c r="H18" s="24"/>
      <c r="I18" s="72"/>
      <c r="J18" s="73"/>
      <c r="K18" s="74"/>
      <c r="L18" s="80"/>
      <c r="M18" s="35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3"/>
      <c r="B19" s="23"/>
      <c r="C19" s="24"/>
      <c r="D19" s="23"/>
      <c r="E19" s="26"/>
      <c r="F19" s="26"/>
      <c r="G19" s="26"/>
      <c r="H19" s="24"/>
      <c r="I19" s="72"/>
      <c r="J19" s="73"/>
      <c r="K19" s="74"/>
      <c r="L19" s="80"/>
      <c r="M19" s="3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3"/>
      <c r="B20" s="23"/>
      <c r="C20" s="24"/>
      <c r="D20" s="23"/>
      <c r="E20" s="26"/>
      <c r="F20" s="26"/>
      <c r="G20" s="26"/>
      <c r="H20" s="24"/>
      <c r="I20" s="72"/>
      <c r="J20" s="73"/>
      <c r="K20" s="74"/>
      <c r="L20" s="80"/>
      <c r="M20" s="3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3"/>
      <c r="B21" s="23"/>
      <c r="C21" s="24"/>
      <c r="D21" s="23"/>
      <c r="E21" s="26"/>
      <c r="F21" s="26"/>
      <c r="G21" s="26"/>
      <c r="H21" s="24"/>
      <c r="I21" s="72"/>
      <c r="J21" s="73"/>
      <c r="K21" s="74"/>
      <c r="L21" s="80"/>
      <c r="M21" s="3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3"/>
      <c r="B22" s="23"/>
      <c r="C22" s="24"/>
      <c r="D22" s="23"/>
      <c r="E22" s="26"/>
      <c r="F22" s="26"/>
      <c r="G22" s="26"/>
      <c r="H22" s="24"/>
      <c r="I22" s="72"/>
      <c r="J22" s="73"/>
      <c r="K22" s="74"/>
      <c r="L22" s="80"/>
      <c r="M22" s="3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3"/>
      <c r="B23" s="23"/>
      <c r="C23" s="24"/>
      <c r="D23" s="23"/>
      <c r="E23" s="26"/>
      <c r="F23" s="26"/>
      <c r="G23" s="26"/>
      <c r="H23" s="24"/>
      <c r="I23" s="72"/>
      <c r="J23" s="73"/>
      <c r="K23" s="74"/>
      <c r="L23" s="80"/>
      <c r="M23" s="3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3"/>
      <c r="B24" s="23"/>
      <c r="C24" s="24"/>
      <c r="D24" s="23"/>
      <c r="E24" s="26"/>
      <c r="F24" s="26"/>
      <c r="G24" s="26"/>
      <c r="H24" s="24"/>
      <c r="I24" s="87"/>
      <c r="J24" s="88"/>
      <c r="K24" s="89"/>
      <c r="L24" s="90"/>
      <c r="M24" s="3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3"/>
      <c r="B25" s="23"/>
      <c r="C25" s="24"/>
      <c r="D25" s="23"/>
      <c r="E25" s="26"/>
      <c r="F25" s="26"/>
      <c r="G25" s="26"/>
      <c r="H25" s="24"/>
      <c r="I25" s="87"/>
      <c r="J25" s="88"/>
      <c r="K25" s="89"/>
      <c r="L25" s="90"/>
      <c r="M25" s="3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3"/>
      <c r="B26" s="23"/>
      <c r="C26" s="24"/>
      <c r="D26" s="23"/>
      <c r="E26" s="26"/>
      <c r="F26" s="26"/>
      <c r="G26" s="26"/>
      <c r="H26" s="24"/>
      <c r="I26" s="87"/>
      <c r="J26" s="88"/>
      <c r="K26" s="89"/>
      <c r="L26" s="90"/>
      <c r="M26" s="3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3"/>
      <c r="B27" s="23"/>
      <c r="C27" s="24"/>
      <c r="D27" s="23"/>
      <c r="E27" s="26"/>
      <c r="F27" s="26"/>
      <c r="G27" s="26"/>
      <c r="H27" s="24"/>
      <c r="I27" s="87"/>
      <c r="J27" s="88"/>
      <c r="K27" s="89"/>
      <c r="L27" s="90"/>
      <c r="M27" s="3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3"/>
      <c r="B28" s="23"/>
      <c r="C28" s="24"/>
      <c r="D28" s="23"/>
      <c r="E28" s="26"/>
      <c r="F28" s="26"/>
      <c r="G28" s="26"/>
      <c r="H28" s="24"/>
      <c r="I28" s="87"/>
      <c r="J28" s="88"/>
      <c r="K28" s="89"/>
      <c r="L28" s="90"/>
      <c r="M28" s="35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3"/>
      <c r="B29" s="23"/>
      <c r="C29" s="24"/>
      <c r="D29" s="23"/>
      <c r="E29" s="26"/>
      <c r="F29" s="26"/>
      <c r="G29" s="26"/>
      <c r="H29" s="24"/>
      <c r="I29" s="87"/>
      <c r="J29" s="88"/>
      <c r="K29" s="89"/>
      <c r="L29" s="90"/>
      <c r="M29" s="3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3"/>
      <c r="B30" s="23"/>
      <c r="C30" s="24"/>
      <c r="D30" s="23"/>
      <c r="E30" s="26"/>
      <c r="F30" s="26"/>
      <c r="G30" s="26"/>
      <c r="H30" s="24"/>
      <c r="I30" s="87"/>
      <c r="J30" s="88"/>
      <c r="K30" s="89"/>
      <c r="L30" s="90"/>
      <c r="M30" s="3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3"/>
      <c r="B31" s="23"/>
      <c r="C31" s="24"/>
      <c r="D31" s="23"/>
      <c r="E31" s="26"/>
      <c r="F31" s="26"/>
      <c r="G31" s="26"/>
      <c r="H31" s="24"/>
      <c r="I31" s="87"/>
      <c r="J31" s="88"/>
      <c r="K31" s="89"/>
      <c r="L31" s="90"/>
      <c r="M31" s="3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3"/>
      <c r="B32" s="23"/>
      <c r="C32" s="24"/>
      <c r="D32" s="23"/>
      <c r="E32" s="26"/>
      <c r="F32" s="26"/>
      <c r="G32" s="26"/>
      <c r="H32" s="24"/>
      <c r="I32" s="87"/>
      <c r="J32" s="88"/>
      <c r="K32" s="89"/>
      <c r="L32" s="90"/>
      <c r="M32" s="3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3"/>
      <c r="B33" s="23"/>
      <c r="C33" s="24"/>
      <c r="D33" s="23"/>
      <c r="E33" s="26"/>
      <c r="F33" s="26"/>
      <c r="G33" s="26"/>
      <c r="H33" s="24"/>
      <c r="I33" s="87"/>
      <c r="J33" s="88"/>
      <c r="K33" s="89"/>
      <c r="L33" s="90"/>
      <c r="M33" s="3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3"/>
      <c r="B34" s="23"/>
      <c r="C34" s="24"/>
      <c r="D34" s="23"/>
      <c r="E34" s="26"/>
      <c r="F34" s="26"/>
      <c r="G34" s="26"/>
      <c r="H34" s="24"/>
      <c r="I34" s="87"/>
      <c r="J34" s="88"/>
      <c r="K34" s="89"/>
      <c r="L34" s="90"/>
      <c r="M34" s="3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3"/>
      <c r="B35" s="23"/>
      <c r="C35" s="24"/>
      <c r="D35" s="23"/>
      <c r="E35" s="26"/>
      <c r="F35" s="26"/>
      <c r="G35" s="26"/>
      <c r="H35" s="24"/>
      <c r="I35" s="87"/>
      <c r="J35" s="88"/>
      <c r="K35" s="89"/>
      <c r="L35" s="90"/>
      <c r="M35" s="3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3"/>
      <c r="B36" s="23"/>
      <c r="C36" s="24"/>
      <c r="D36" s="23"/>
      <c r="E36" s="26"/>
      <c r="F36" s="26"/>
      <c r="G36" s="26"/>
      <c r="H36" s="24"/>
      <c r="I36" s="87"/>
      <c r="J36" s="73"/>
      <c r="K36" s="74"/>
      <c r="L36" s="80"/>
      <c r="M36" s="4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3"/>
      <c r="B37" s="23"/>
      <c r="C37" s="24"/>
      <c r="D37" s="23"/>
      <c r="E37" s="26"/>
      <c r="F37" s="26"/>
      <c r="G37" s="26"/>
      <c r="H37" s="24"/>
      <c r="I37" s="87"/>
      <c r="J37" s="73"/>
      <c r="K37" s="74"/>
      <c r="L37" s="80"/>
      <c r="M37" s="4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3"/>
      <c r="B38" s="23"/>
      <c r="C38" s="24"/>
      <c r="D38" s="23"/>
      <c r="E38" s="26"/>
      <c r="F38" s="26"/>
      <c r="G38" s="26"/>
      <c r="H38" s="24"/>
      <c r="I38" s="87"/>
      <c r="J38" s="73"/>
      <c r="K38" s="74"/>
      <c r="L38" s="80"/>
      <c r="M38" s="4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3"/>
      <c r="B39" s="23"/>
      <c r="C39" s="24"/>
      <c r="D39" s="23"/>
      <c r="E39" s="26"/>
      <c r="F39" s="26"/>
      <c r="G39" s="26"/>
      <c r="H39" s="24"/>
      <c r="I39" s="87"/>
      <c r="J39" s="73"/>
      <c r="K39" s="74"/>
      <c r="L39" s="80"/>
      <c r="M39" s="4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3"/>
      <c r="B40" s="23"/>
      <c r="C40" s="24"/>
      <c r="D40" s="23"/>
      <c r="E40" s="26"/>
      <c r="F40" s="26"/>
      <c r="G40" s="26"/>
      <c r="H40" s="24"/>
      <c r="I40" s="87"/>
      <c r="J40" s="73"/>
      <c r="K40" s="74"/>
      <c r="L40" s="80"/>
      <c r="M40" s="4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3"/>
      <c r="B41" s="23"/>
      <c r="C41" s="24"/>
      <c r="D41" s="23"/>
      <c r="E41" s="26"/>
      <c r="F41" s="26"/>
      <c r="G41" s="26"/>
      <c r="H41" s="24"/>
      <c r="I41" s="87"/>
      <c r="J41" s="73"/>
      <c r="K41" s="74"/>
      <c r="L41" s="80"/>
      <c r="M41" s="4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3"/>
      <c r="B42" s="23"/>
      <c r="C42" s="24"/>
      <c r="D42" s="23"/>
      <c r="E42" s="35"/>
      <c r="F42" s="35"/>
      <c r="G42" s="35"/>
      <c r="H42" s="24"/>
      <c r="I42" s="87"/>
      <c r="J42" s="73"/>
      <c r="K42" s="74"/>
      <c r="L42" s="80"/>
      <c r="M42" s="4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3"/>
      <c r="B43" s="23"/>
      <c r="C43" s="24"/>
      <c r="D43" s="23"/>
      <c r="E43" s="26"/>
      <c r="F43" s="26"/>
      <c r="G43" s="26"/>
      <c r="H43" s="24"/>
      <c r="I43" s="87"/>
      <c r="J43" s="73"/>
      <c r="K43" s="74"/>
      <c r="L43" s="80"/>
      <c r="M43" s="4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3"/>
      <c r="B44" s="23"/>
      <c r="C44" s="24"/>
      <c r="D44" s="23"/>
      <c r="E44" s="26"/>
      <c r="F44" s="26"/>
      <c r="G44" s="26"/>
      <c r="H44" s="24"/>
      <c r="I44" s="87"/>
      <c r="J44" s="73"/>
      <c r="K44" s="74"/>
      <c r="L44" s="80"/>
      <c r="M44" s="4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3"/>
      <c r="B45" s="23"/>
      <c r="C45" s="24"/>
      <c r="D45" s="23"/>
      <c r="E45" s="26"/>
      <c r="F45" s="26"/>
      <c r="G45" s="26"/>
      <c r="H45" s="24"/>
      <c r="I45" s="87"/>
      <c r="J45" s="73"/>
      <c r="K45" s="74"/>
      <c r="L45" s="80"/>
      <c r="M45" s="4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3"/>
      <c r="B46" s="23"/>
      <c r="C46" s="24"/>
      <c r="D46" s="23"/>
      <c r="E46" s="26"/>
      <c r="F46" s="26"/>
      <c r="G46" s="26"/>
      <c r="H46" s="24"/>
      <c r="I46" s="72"/>
      <c r="J46" s="73"/>
      <c r="K46" s="74"/>
      <c r="L46" s="80"/>
      <c r="M46" s="4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3"/>
      <c r="B47" s="23"/>
      <c r="C47" s="24"/>
      <c r="D47" s="23"/>
      <c r="E47" s="26"/>
      <c r="F47" s="26"/>
      <c r="G47" s="26"/>
      <c r="H47" s="24"/>
      <c r="I47" s="72"/>
      <c r="J47" s="73"/>
      <c r="K47" s="74"/>
      <c r="L47" s="80"/>
      <c r="M47" s="4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3"/>
      <c r="B48" s="23"/>
      <c r="C48" s="24"/>
      <c r="D48" s="23"/>
      <c r="E48" s="26"/>
      <c r="F48" s="26"/>
      <c r="G48" s="26"/>
      <c r="H48" s="24"/>
      <c r="I48" s="72"/>
      <c r="J48" s="73"/>
      <c r="K48" s="74"/>
      <c r="L48" s="80"/>
      <c r="M48" s="4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3"/>
      <c r="B49" s="23"/>
      <c r="C49" s="24"/>
      <c r="D49" s="23"/>
      <c r="E49" s="26"/>
      <c r="F49" s="26"/>
      <c r="G49" s="26"/>
      <c r="H49" s="24"/>
      <c r="I49" s="72"/>
      <c r="J49" s="73"/>
      <c r="K49" s="74"/>
      <c r="L49" s="80"/>
      <c r="M49" s="4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3"/>
      <c r="B50" s="23"/>
      <c r="C50" s="24"/>
      <c r="D50" s="23"/>
      <c r="E50" s="26"/>
      <c r="F50" s="26"/>
      <c r="G50" s="26"/>
      <c r="H50" s="24"/>
      <c r="I50" s="87"/>
      <c r="J50" s="73"/>
      <c r="K50" s="74"/>
      <c r="L50" s="80"/>
      <c r="M50" s="4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3"/>
      <c r="B51" s="23"/>
      <c r="C51" s="24"/>
      <c r="D51" s="23"/>
      <c r="E51" s="26"/>
      <c r="F51" s="26"/>
      <c r="G51" s="26"/>
      <c r="H51" s="24"/>
      <c r="I51" s="87"/>
      <c r="J51" s="73"/>
      <c r="K51" s="74"/>
      <c r="L51" s="80"/>
      <c r="M51" s="4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3"/>
      <c r="B52" s="23"/>
      <c r="C52" s="24"/>
      <c r="D52" s="23"/>
      <c r="E52" s="26"/>
      <c r="F52" s="26"/>
      <c r="G52" s="26"/>
      <c r="H52" s="24"/>
      <c r="I52" s="87"/>
      <c r="J52" s="73"/>
      <c r="K52" s="74"/>
      <c r="L52" s="80"/>
      <c r="M52" s="4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3"/>
      <c r="B53" s="23"/>
      <c r="C53" s="24"/>
      <c r="D53" s="23"/>
      <c r="E53" s="26"/>
      <c r="F53" s="26"/>
      <c r="G53" s="26"/>
      <c r="H53" s="24"/>
      <c r="I53" s="87"/>
      <c r="J53" s="73"/>
      <c r="K53" s="74"/>
      <c r="L53" s="80"/>
      <c r="M53" s="4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3"/>
      <c r="B54" s="23"/>
      <c r="C54" s="24"/>
      <c r="D54" s="23"/>
      <c r="E54" s="26"/>
      <c r="F54" s="26"/>
      <c r="G54" s="26"/>
      <c r="H54" s="24"/>
      <c r="I54" s="87"/>
      <c r="J54" s="73"/>
      <c r="K54" s="74"/>
      <c r="L54" s="80"/>
      <c r="M54" s="4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3"/>
      <c r="B55" s="23"/>
      <c r="C55" s="24"/>
      <c r="D55" s="23"/>
      <c r="E55" s="26"/>
      <c r="F55" s="26"/>
      <c r="G55" s="26"/>
      <c r="H55" s="24"/>
      <c r="I55" s="87"/>
      <c r="J55" s="73"/>
      <c r="K55" s="74"/>
      <c r="L55" s="80"/>
      <c r="M55" s="4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3"/>
      <c r="B56" s="23"/>
      <c r="C56" s="24"/>
      <c r="D56" s="23"/>
      <c r="E56" s="26"/>
      <c r="F56" s="26"/>
      <c r="G56" s="26"/>
      <c r="H56" s="24"/>
      <c r="I56" s="87"/>
      <c r="J56" s="73"/>
      <c r="K56" s="74"/>
      <c r="L56" s="80"/>
      <c r="M56" s="4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3"/>
      <c r="B57" s="23"/>
      <c r="C57" s="24"/>
      <c r="D57" s="23"/>
      <c r="E57" s="26"/>
      <c r="F57" s="26"/>
      <c r="G57" s="26"/>
      <c r="H57" s="24"/>
      <c r="I57" s="87"/>
      <c r="J57" s="88"/>
      <c r="K57" s="89"/>
      <c r="L57" s="90"/>
      <c r="M57" s="35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3"/>
      <c r="B58" s="23"/>
      <c r="C58" s="24"/>
      <c r="D58" s="23"/>
      <c r="E58" s="26"/>
      <c r="F58" s="26"/>
      <c r="G58" s="26"/>
      <c r="H58" s="24"/>
      <c r="I58" s="87"/>
      <c r="J58" s="73"/>
      <c r="K58" s="74"/>
      <c r="L58" s="80"/>
      <c r="M58" s="4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3"/>
      <c r="B59" s="23"/>
      <c r="C59" s="24"/>
      <c r="D59" s="23"/>
      <c r="E59" s="26"/>
      <c r="F59" s="26"/>
      <c r="G59" s="26"/>
      <c r="H59" s="24"/>
      <c r="I59" s="87"/>
      <c r="J59" s="73"/>
      <c r="K59" s="74"/>
      <c r="L59" s="80"/>
      <c r="M59" s="4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3"/>
      <c r="B60" s="23"/>
      <c r="C60" s="24"/>
      <c r="D60" s="23"/>
      <c r="E60" s="26"/>
      <c r="F60" s="26"/>
      <c r="G60" s="26"/>
      <c r="H60" s="24"/>
      <c r="I60" s="87"/>
      <c r="J60" s="73"/>
      <c r="K60" s="74"/>
      <c r="L60" s="80"/>
      <c r="M60" s="4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3"/>
      <c r="B61" s="23"/>
      <c r="C61" s="24"/>
      <c r="D61" s="23"/>
      <c r="E61" s="26"/>
      <c r="F61" s="26"/>
      <c r="G61" s="26"/>
      <c r="H61" s="24"/>
      <c r="I61" s="87"/>
      <c r="J61" s="73"/>
      <c r="K61" s="74"/>
      <c r="L61" s="80"/>
      <c r="M61" s="4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3"/>
      <c r="B62" s="23"/>
      <c r="C62" s="24"/>
      <c r="D62" s="23"/>
      <c r="E62" s="26"/>
      <c r="F62" s="26"/>
      <c r="G62" s="26"/>
      <c r="H62" s="24"/>
      <c r="I62" s="87"/>
      <c r="J62" s="73"/>
      <c r="K62" s="74"/>
      <c r="L62" s="80"/>
      <c r="M62" s="4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3"/>
      <c r="B63" s="23"/>
      <c r="C63" s="24"/>
      <c r="D63" s="23"/>
      <c r="E63" s="26"/>
      <c r="F63" s="26"/>
      <c r="G63" s="26"/>
      <c r="H63" s="24"/>
      <c r="I63" s="87"/>
      <c r="J63" s="73"/>
      <c r="K63" s="74"/>
      <c r="L63" s="80"/>
      <c r="M63" s="4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3"/>
      <c r="B64" s="23"/>
      <c r="C64" s="24"/>
      <c r="D64" s="23"/>
      <c r="E64" s="26"/>
      <c r="F64" s="26"/>
      <c r="G64" s="26"/>
      <c r="H64" s="24"/>
      <c r="I64" s="87"/>
      <c r="J64" s="73"/>
      <c r="K64" s="74"/>
      <c r="L64" s="80"/>
      <c r="M64" s="4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3"/>
      <c r="B65" s="23"/>
      <c r="C65" s="24"/>
      <c r="D65" s="23"/>
      <c r="E65" s="26"/>
      <c r="F65" s="26"/>
      <c r="G65" s="26"/>
      <c r="H65" s="24"/>
      <c r="I65" s="87"/>
      <c r="J65" s="73"/>
      <c r="K65" s="74"/>
      <c r="L65" s="80"/>
      <c r="M65" s="4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3"/>
      <c r="B66" s="23"/>
      <c r="C66" s="24"/>
      <c r="D66" s="23"/>
      <c r="E66" s="26"/>
      <c r="F66" s="26"/>
      <c r="G66" s="26"/>
      <c r="H66" s="24"/>
      <c r="I66" s="87"/>
      <c r="J66" s="73"/>
      <c r="K66" s="74"/>
      <c r="L66" s="80"/>
      <c r="M66" s="4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3"/>
      <c r="B67" s="23"/>
      <c r="C67" s="24"/>
      <c r="D67" s="23"/>
      <c r="E67" s="26"/>
      <c r="F67" s="26"/>
      <c r="G67" s="26"/>
      <c r="H67" s="24"/>
      <c r="I67" s="87"/>
      <c r="J67" s="73"/>
      <c r="K67" s="74"/>
      <c r="L67" s="80"/>
      <c r="M67" s="4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3"/>
      <c r="B68" s="23"/>
      <c r="C68" s="24"/>
      <c r="D68" s="23"/>
      <c r="E68" s="26"/>
      <c r="F68" s="26"/>
      <c r="G68" s="26"/>
      <c r="H68" s="24"/>
      <c r="I68" s="87"/>
      <c r="J68" s="73"/>
      <c r="K68" s="74"/>
      <c r="L68" s="80"/>
      <c r="M68" s="4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3"/>
      <c r="B69" s="23"/>
      <c r="C69" s="24"/>
      <c r="D69" s="23"/>
      <c r="E69" s="26"/>
      <c r="F69" s="26"/>
      <c r="G69" s="26"/>
      <c r="H69" s="24"/>
      <c r="I69" s="87"/>
      <c r="J69" s="73"/>
      <c r="K69" s="74"/>
      <c r="L69" s="80"/>
      <c r="M69" s="4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3"/>
      <c r="B70" s="23"/>
      <c r="C70" s="24"/>
      <c r="D70" s="23"/>
      <c r="E70" s="26"/>
      <c r="F70" s="26"/>
      <c r="G70" s="26"/>
      <c r="H70" s="24"/>
      <c r="I70" s="87"/>
      <c r="J70" s="73"/>
      <c r="K70" s="74"/>
      <c r="L70" s="80"/>
      <c r="M70" s="4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3"/>
      <c r="B71" s="23"/>
      <c r="C71" s="24"/>
      <c r="D71" s="23"/>
      <c r="E71" s="26"/>
      <c r="F71" s="26"/>
      <c r="G71" s="26"/>
      <c r="H71" s="24"/>
      <c r="I71" s="87"/>
      <c r="J71" s="73"/>
      <c r="K71" s="74"/>
      <c r="L71" s="80"/>
      <c r="M71" s="4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3"/>
      <c r="B72" s="23"/>
      <c r="C72" s="24"/>
      <c r="D72" s="23"/>
      <c r="E72" s="26"/>
      <c r="F72" s="26"/>
      <c r="G72" s="26"/>
      <c r="H72" s="24"/>
      <c r="I72" s="87"/>
      <c r="J72" s="73"/>
      <c r="K72" s="74"/>
      <c r="L72" s="80"/>
      <c r="M72" s="4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3"/>
      <c r="B73" s="23"/>
      <c r="C73" s="24"/>
      <c r="D73" s="23"/>
      <c r="E73" s="26"/>
      <c r="F73" s="26"/>
      <c r="G73" s="26"/>
      <c r="H73" s="24"/>
      <c r="I73" s="87"/>
      <c r="J73" s="88"/>
      <c r="K73" s="89"/>
      <c r="L73" s="90"/>
      <c r="M73" s="35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3"/>
      <c r="B74" s="23"/>
      <c r="C74" s="24"/>
      <c r="D74" s="23"/>
      <c r="E74" s="26"/>
      <c r="F74" s="26"/>
      <c r="G74" s="26"/>
      <c r="H74" s="24"/>
      <c r="I74" s="87"/>
      <c r="J74" s="73"/>
      <c r="K74" s="74"/>
      <c r="L74" s="80"/>
      <c r="M74" s="4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3"/>
      <c r="B75" s="23"/>
      <c r="C75" s="24"/>
      <c r="D75" s="23"/>
      <c r="E75" s="26"/>
      <c r="F75" s="26"/>
      <c r="G75" s="26"/>
      <c r="H75" s="24"/>
      <c r="I75" s="87"/>
      <c r="J75" s="73"/>
      <c r="K75" s="74"/>
      <c r="L75" s="80"/>
      <c r="M75" s="4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3"/>
      <c r="B76" s="23"/>
      <c r="C76" s="24"/>
      <c r="D76" s="23"/>
      <c r="E76" s="26"/>
      <c r="F76" s="26"/>
      <c r="G76" s="26"/>
      <c r="H76" s="24"/>
      <c r="I76" s="87"/>
      <c r="J76" s="73"/>
      <c r="K76" s="74"/>
      <c r="L76" s="80"/>
      <c r="M76" s="4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3"/>
      <c r="B77" s="23"/>
      <c r="C77" s="24"/>
      <c r="D77" s="23"/>
      <c r="E77" s="26"/>
      <c r="F77" s="26"/>
      <c r="G77" s="26"/>
      <c r="H77" s="24"/>
      <c r="I77" s="87"/>
      <c r="J77" s="73"/>
      <c r="K77" s="74"/>
      <c r="L77" s="80"/>
      <c r="M77" s="4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3"/>
      <c r="B78" s="23"/>
      <c r="C78" s="24"/>
      <c r="D78" s="23"/>
      <c r="E78" s="26"/>
      <c r="F78" s="26"/>
      <c r="G78" s="26"/>
      <c r="H78" s="24"/>
      <c r="I78" s="87"/>
      <c r="J78" s="73"/>
      <c r="K78" s="74"/>
      <c r="L78" s="80"/>
      <c r="M78" s="4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3"/>
      <c r="B79" s="23"/>
      <c r="C79" s="24"/>
      <c r="D79" s="23"/>
      <c r="E79" s="26"/>
      <c r="F79" s="26"/>
      <c r="G79" s="26"/>
      <c r="H79" s="24"/>
      <c r="I79" s="87"/>
      <c r="J79" s="73"/>
      <c r="K79" s="74"/>
      <c r="L79" s="80"/>
      <c r="M79" s="4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3"/>
      <c r="B80" s="23"/>
      <c r="C80" s="24"/>
      <c r="D80" s="23"/>
      <c r="E80" s="26"/>
      <c r="F80" s="26"/>
      <c r="G80" s="26"/>
      <c r="H80" s="24"/>
      <c r="I80" s="87"/>
      <c r="J80" s="88"/>
      <c r="K80" s="89"/>
      <c r="L80" s="90"/>
      <c r="M80" s="35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3"/>
      <c r="B81" s="23"/>
      <c r="C81" s="24"/>
      <c r="D81" s="23"/>
      <c r="E81" s="26"/>
      <c r="F81" s="26"/>
      <c r="G81" s="26"/>
      <c r="H81" s="24"/>
      <c r="I81" s="87"/>
      <c r="J81" s="73"/>
      <c r="K81" s="74"/>
      <c r="L81" s="80"/>
      <c r="M81" s="4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3"/>
      <c r="B82" s="23"/>
      <c r="C82" s="24"/>
      <c r="D82" s="23"/>
      <c r="E82" s="26"/>
      <c r="F82" s="26"/>
      <c r="G82" s="26"/>
      <c r="H82" s="24"/>
      <c r="I82" s="87"/>
      <c r="J82" s="73"/>
      <c r="K82" s="74"/>
      <c r="L82" s="80"/>
      <c r="M82" s="4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3"/>
      <c r="B83" s="23"/>
      <c r="C83" s="24"/>
      <c r="D83" s="23"/>
      <c r="E83" s="26"/>
      <c r="F83" s="26"/>
      <c r="G83" s="26"/>
      <c r="H83" s="24"/>
      <c r="I83" s="87"/>
      <c r="J83" s="88"/>
      <c r="K83" s="89"/>
      <c r="L83" s="90"/>
      <c r="M83" s="35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3"/>
      <c r="B84" s="23"/>
      <c r="C84" s="24"/>
      <c r="D84" s="23"/>
      <c r="E84" s="26"/>
      <c r="F84" s="26"/>
      <c r="G84" s="26"/>
      <c r="H84" s="24"/>
      <c r="I84" s="87"/>
      <c r="J84" s="88"/>
      <c r="K84" s="89"/>
      <c r="L84" s="90"/>
      <c r="M84" s="35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3"/>
      <c r="B85" s="23"/>
      <c r="C85" s="24"/>
      <c r="D85" s="23"/>
      <c r="E85" s="26"/>
      <c r="F85" s="26"/>
      <c r="G85" s="26"/>
      <c r="H85" s="24"/>
      <c r="I85" s="87"/>
      <c r="J85" s="88"/>
      <c r="K85" s="89"/>
      <c r="L85" s="90"/>
      <c r="M85" s="35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3"/>
      <c r="B86" s="23"/>
      <c r="C86" s="24"/>
      <c r="D86" s="23"/>
      <c r="E86" s="26"/>
      <c r="F86" s="26"/>
      <c r="G86" s="26"/>
      <c r="H86" s="24"/>
      <c r="I86" s="87"/>
      <c r="J86" s="88"/>
      <c r="K86" s="89"/>
      <c r="L86" s="90"/>
      <c r="M86" s="35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3"/>
      <c r="B87" s="23"/>
      <c r="C87" s="24"/>
      <c r="D87" s="23"/>
      <c r="E87" s="26"/>
      <c r="F87" s="26"/>
      <c r="G87" s="26"/>
      <c r="H87" s="24"/>
      <c r="I87" s="87"/>
      <c r="J87" s="88"/>
      <c r="K87" s="89"/>
      <c r="L87" s="90"/>
      <c r="M87" s="35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3"/>
      <c r="B88" s="23"/>
      <c r="C88" s="24"/>
      <c r="D88" s="23"/>
      <c r="E88" s="26"/>
      <c r="F88" s="26"/>
      <c r="G88" s="26"/>
      <c r="H88" s="24"/>
      <c r="I88" s="87"/>
      <c r="J88" s="88"/>
      <c r="K88" s="89"/>
      <c r="L88" s="90"/>
      <c r="M88" s="35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3"/>
      <c r="B89" s="23"/>
      <c r="C89" s="24"/>
      <c r="D89" s="23"/>
      <c r="E89" s="26"/>
      <c r="F89" s="26"/>
      <c r="G89" s="26"/>
      <c r="H89" s="24"/>
      <c r="I89" s="87"/>
      <c r="J89" s="88"/>
      <c r="K89" s="89"/>
      <c r="L89" s="90"/>
      <c r="M89" s="35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3"/>
      <c r="B90" s="23"/>
      <c r="C90" s="24"/>
      <c r="D90" s="23"/>
      <c r="E90" s="26"/>
      <c r="F90" s="26"/>
      <c r="G90" s="26"/>
      <c r="H90" s="24"/>
      <c r="I90" s="87"/>
      <c r="J90" s="88"/>
      <c r="K90" s="89"/>
      <c r="L90" s="90"/>
      <c r="M90" s="35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3"/>
      <c r="B91" s="23"/>
      <c r="C91" s="24"/>
      <c r="D91" s="23"/>
      <c r="E91" s="26"/>
      <c r="F91" s="26"/>
      <c r="G91" s="26"/>
      <c r="H91" s="24"/>
      <c r="I91" s="87"/>
      <c r="J91" s="88"/>
      <c r="K91" s="89"/>
      <c r="L91" s="90"/>
      <c r="M91" s="35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3"/>
      <c r="B92" s="23"/>
      <c r="C92" s="24"/>
      <c r="D92" s="23"/>
      <c r="E92" s="26"/>
      <c r="F92" s="26"/>
      <c r="G92" s="26"/>
      <c r="H92" s="24"/>
      <c r="I92" s="87"/>
      <c r="J92" s="88"/>
      <c r="K92" s="89"/>
      <c r="L92" s="90"/>
      <c r="M92" s="35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3"/>
      <c r="B93" s="23"/>
      <c r="C93" s="24"/>
      <c r="D93" s="23"/>
      <c r="E93" s="26"/>
      <c r="F93" s="26"/>
      <c r="G93" s="26"/>
      <c r="H93" s="24"/>
      <c r="I93" s="87"/>
      <c r="J93" s="88"/>
      <c r="K93" s="89"/>
      <c r="L93" s="90"/>
      <c r="M93" s="35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3"/>
      <c r="B94" s="23"/>
      <c r="C94" s="24"/>
      <c r="D94" s="23"/>
      <c r="E94" s="26"/>
      <c r="F94" s="26"/>
      <c r="G94" s="26"/>
      <c r="H94" s="24"/>
      <c r="I94" s="87"/>
      <c r="J94" s="88"/>
      <c r="K94" s="89"/>
      <c r="L94" s="90"/>
      <c r="M94" s="35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3"/>
      <c r="B95" s="23"/>
      <c r="C95" s="24"/>
      <c r="D95" s="23"/>
      <c r="E95" s="26"/>
      <c r="F95" s="26"/>
      <c r="G95" s="26"/>
      <c r="H95" s="24"/>
      <c r="I95" s="87"/>
      <c r="J95" s="88"/>
      <c r="K95" s="89"/>
      <c r="L95" s="90"/>
      <c r="M95" s="35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2"/>
      <c r="B96" s="1"/>
      <c r="C96" s="43"/>
      <c r="D96" s="44"/>
      <c r="E96" s="45"/>
      <c r="F96" s="2"/>
      <c r="G96" s="2"/>
      <c r="H96" s="2"/>
      <c r="I96" s="91"/>
      <c r="J96" s="92"/>
      <c r="K96" s="89"/>
      <c r="L96" s="90"/>
      <c r="M96" s="35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/>
      <c r="B97" s="1"/>
      <c r="C97" s="48"/>
      <c r="D97" s="49"/>
      <c r="E97" s="50"/>
      <c r="F97" s="2"/>
      <c r="G97" s="2"/>
      <c r="H97" s="2"/>
      <c r="I97" s="91"/>
      <c r="J97" s="91"/>
      <c r="K97" s="91"/>
      <c r="L97" s="91"/>
      <c r="M97" s="51">
        <f>SUM(M7:M96)</f>
        <v>657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/>
      <c r="B98" s="52"/>
      <c r="C98" s="43"/>
      <c r="D98" s="2"/>
      <c r="E98" s="2"/>
      <c r="F98" s="2"/>
      <c r="G98" s="2"/>
      <c r="H98" s="2"/>
      <c r="I98" s="91"/>
      <c r="J98" s="91"/>
      <c r="K98" s="91"/>
      <c r="L98" s="9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43"/>
      <c r="D99" s="2"/>
      <c r="E99" s="2"/>
      <c r="F99" s="2"/>
      <c r="G99" s="2"/>
      <c r="H99" s="2"/>
      <c r="I99" s="93"/>
      <c r="J99" s="91"/>
      <c r="K99" s="91"/>
      <c r="L99" s="9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2"/>
      <c r="D100" s="2"/>
      <c r="E100" s="2"/>
      <c r="F100" s="2"/>
      <c r="G100" s="2"/>
      <c r="H100" s="2"/>
      <c r="I100" s="91"/>
      <c r="J100" s="93"/>
      <c r="K100" s="93"/>
      <c r="L100" s="93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2"/>
      <c r="D101" s="2"/>
      <c r="E101" s="2"/>
      <c r="F101" s="2"/>
      <c r="G101" s="2"/>
      <c r="H101" s="2"/>
      <c r="I101" s="91"/>
      <c r="J101" s="91"/>
      <c r="K101" s="91"/>
      <c r="L101" s="9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2"/>
      <c r="D102" s="2"/>
      <c r="E102" s="2"/>
      <c r="F102" s="2"/>
      <c r="G102" s="2"/>
      <c r="H102" s="2"/>
      <c r="I102" s="91"/>
      <c r="J102" s="91"/>
      <c r="K102" s="91"/>
      <c r="L102" s="9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2"/>
      <c r="D103" s="2"/>
      <c r="E103" s="2"/>
      <c r="F103" s="2"/>
      <c r="G103" s="2"/>
      <c r="H103" s="2"/>
      <c r="I103" s="91"/>
      <c r="J103" s="91"/>
      <c r="K103" s="91"/>
      <c r="L103" s="9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2"/>
      <c r="D104" s="2"/>
      <c r="E104" s="2"/>
      <c r="F104" s="2"/>
      <c r="G104" s="2"/>
      <c r="H104" s="2"/>
      <c r="I104" s="91"/>
      <c r="J104" s="91"/>
      <c r="K104" s="91"/>
      <c r="L104" s="9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2"/>
      <c r="D105" s="2"/>
      <c r="E105" s="2"/>
      <c r="F105" s="2"/>
      <c r="G105" s="2"/>
      <c r="H105" s="2"/>
      <c r="I105" s="17" t="s">
        <v>11</v>
      </c>
      <c r="J105" s="91"/>
      <c r="K105" s="91"/>
      <c r="L105" s="9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2"/>
      <c r="D106" s="2"/>
      <c r="E106" s="2"/>
      <c r="F106" s="2"/>
      <c r="G106" s="2"/>
      <c r="H106" s="2"/>
      <c r="I106" s="54">
        <f>SUM(I7:I96)</f>
        <v>200</v>
      </c>
      <c r="J106" s="55" t="s">
        <v>12</v>
      </c>
      <c r="K106" s="94"/>
      <c r="L106" s="95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2"/>
      <c r="D107" s="2"/>
      <c r="E107" s="2"/>
      <c r="F107" s="2"/>
      <c r="G107" s="2"/>
      <c r="H107" s="2"/>
      <c r="I107" s="58">
        <f>SUM(I106*2%)</f>
        <v>4</v>
      </c>
      <c r="J107" s="59">
        <f>SUM(J7:J96)</f>
        <v>0</v>
      </c>
      <c r="K107" s="60" t="s">
        <v>18</v>
      </c>
      <c r="L107" s="95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54">
        <f>SUM(J107*2%)</f>
        <v>0</v>
      </c>
      <c r="K108" s="54">
        <f>SUM(K7:K96)</f>
        <v>0</v>
      </c>
      <c r="L108" s="62" t="s">
        <v>14</v>
      </c>
      <c r="M108" s="3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63"/>
      <c r="K109" s="58">
        <f>SUM(K108*2%)</f>
        <v>0</v>
      </c>
      <c r="L109" s="64">
        <f>SUM(L8:L97)</f>
        <v>507</v>
      </c>
      <c r="M109" s="65" t="s">
        <v>19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58">
        <f>SUM(L109*2%)</f>
        <v>10.14</v>
      </c>
      <c r="M110" s="66">
        <f>SUM(M97)</f>
        <v>657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4">
    <mergeCell ref="A2:O2"/>
    <mergeCell ref="A3:O3"/>
    <mergeCell ref="A4:O5"/>
    <mergeCell ref="N8:O8"/>
  </mergeCells>
  <dataValidations>
    <dataValidation type="list" allowBlank="1" showErrorMessage="1" sqref="H7">
      <formula1>"Mel,Flavia,Fernanda,ANA JULIA,Leticia,Miriã"</formula1>
    </dataValidation>
    <dataValidation type="list" allowBlank="1" showErrorMessage="1" sqref="A7:A95">
      <formula1>"Pix,Cartão,Pacote ,Pago "</formula1>
    </dataValidation>
    <dataValidation type="list" allowBlank="1" showErrorMessage="1" sqref="D7:D95">
      <formula1>"White board,Cartoon ,3D ,3D personalizado,3D Premium,VSL,Logo,Post,Influencer Pamela,Influencer João B.,3D Estatico ,3D Realista,Edição audio,Pov,Flow,Personalização,Explainer"</formula1>
    </dataValidation>
    <dataValidation type="list" allowBlank="1" showErrorMessage="1" sqref="C7:C95 H8:H95">
      <formula1>"Vinicius,Kaua,Caio,Julia,Jhonatas,Diogo,Caio Ferreira,Pamelah,Caio Alves,Camila,Wiliam ,Gabriel ,Fernanda,Kaua Pessoni,Gabriel Batista,Gustavo Pereira,Demetrio ,Caio Vinicius,Wesley"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5.63"/>
  </cols>
  <sheetData>
    <row r="1">
      <c r="A1" s="1"/>
      <c r="B1" s="1"/>
      <c r="C1" s="2"/>
      <c r="D1" s="2"/>
      <c r="E1" s="2"/>
      <c r="F1" s="2"/>
      <c r="G1" s="2"/>
      <c r="H1" s="2"/>
      <c r="I1" s="3"/>
      <c r="J1" s="3"/>
      <c r="K1" s="3"/>
      <c r="L1" s="3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7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4" t="s">
        <v>3</v>
      </c>
      <c r="B6" s="15" t="s">
        <v>4</v>
      </c>
      <c r="C6" s="15" t="s">
        <v>5</v>
      </c>
      <c r="D6" s="15" t="s">
        <v>6</v>
      </c>
      <c r="E6" s="15" t="s">
        <v>7</v>
      </c>
      <c r="F6" s="16" t="s">
        <v>8</v>
      </c>
      <c r="G6" s="14" t="s">
        <v>9</v>
      </c>
      <c r="H6" s="14" t="s">
        <v>10</v>
      </c>
      <c r="I6" s="17" t="s">
        <v>11</v>
      </c>
      <c r="J6" s="18" t="s">
        <v>12</v>
      </c>
      <c r="K6" s="19" t="s">
        <v>13</v>
      </c>
      <c r="L6" s="20" t="s">
        <v>14</v>
      </c>
      <c r="M6" s="21" t="s">
        <v>15</v>
      </c>
      <c r="N6" s="2"/>
      <c r="O6" s="2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3"/>
      <c r="B7" s="23"/>
      <c r="C7" s="24"/>
      <c r="D7" s="68" t="s">
        <v>24</v>
      </c>
      <c r="E7" s="77" t="s">
        <v>162</v>
      </c>
      <c r="F7" s="25"/>
      <c r="G7" s="78" t="s">
        <v>163</v>
      </c>
      <c r="H7" s="27"/>
      <c r="I7" s="28"/>
      <c r="J7" s="29"/>
      <c r="K7" s="30"/>
      <c r="L7" s="126">
        <v>250.0</v>
      </c>
      <c r="M7" s="84">
        <v>250.0</v>
      </c>
      <c r="N7" s="2"/>
      <c r="O7" s="22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3"/>
      <c r="B8" s="23"/>
      <c r="C8" s="24"/>
      <c r="D8" s="68" t="s">
        <v>164</v>
      </c>
      <c r="E8" s="77" t="s">
        <v>165</v>
      </c>
      <c r="F8" s="26"/>
      <c r="G8" s="78" t="s">
        <v>127</v>
      </c>
      <c r="H8" s="24"/>
      <c r="I8" s="28"/>
      <c r="J8" s="29"/>
      <c r="K8" s="119" t="s">
        <v>109</v>
      </c>
      <c r="L8" s="31"/>
      <c r="M8" s="27" t="s">
        <v>58</v>
      </c>
      <c r="N8" s="33" t="s">
        <v>16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3"/>
      <c r="B9" s="23"/>
      <c r="C9" s="24"/>
      <c r="D9" s="23"/>
      <c r="E9" s="23"/>
      <c r="F9" s="26"/>
      <c r="G9" s="26"/>
      <c r="H9" s="24"/>
      <c r="I9" s="28"/>
      <c r="J9" s="29"/>
      <c r="K9" s="30"/>
      <c r="L9" s="31"/>
      <c r="M9" s="32"/>
      <c r="N9" s="17" t="s">
        <v>11</v>
      </c>
      <c r="O9" s="34">
        <f>SUM(I6:I95)</f>
        <v>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3"/>
      <c r="B10" s="23"/>
      <c r="C10" s="24"/>
      <c r="D10" s="23"/>
      <c r="E10" s="23"/>
      <c r="F10" s="26"/>
      <c r="G10" s="26"/>
      <c r="H10" s="24"/>
      <c r="I10" s="28"/>
      <c r="J10" s="29"/>
      <c r="K10" s="30"/>
      <c r="L10" s="31"/>
      <c r="M10" s="32"/>
      <c r="N10" s="18" t="s">
        <v>12</v>
      </c>
      <c r="O10" s="34">
        <f>SUM(J7:J95)</f>
        <v>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3"/>
      <c r="B11" s="23"/>
      <c r="C11" s="24"/>
      <c r="D11" s="23"/>
      <c r="E11" s="23"/>
      <c r="F11" s="26"/>
      <c r="G11" s="26"/>
      <c r="H11" s="24"/>
      <c r="I11" s="28"/>
      <c r="J11" s="29"/>
      <c r="K11" s="30"/>
      <c r="L11" s="31"/>
      <c r="M11" s="32"/>
      <c r="N11" s="19" t="s">
        <v>13</v>
      </c>
      <c r="O11" s="34">
        <f>SUM(K7:K96)</f>
        <v>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3"/>
      <c r="B12" s="23"/>
      <c r="C12" s="24"/>
      <c r="D12" s="23"/>
      <c r="E12" s="23"/>
      <c r="F12" s="26"/>
      <c r="G12" s="26"/>
      <c r="H12" s="24"/>
      <c r="I12" s="28"/>
      <c r="J12" s="29"/>
      <c r="K12" s="30"/>
      <c r="L12" s="31"/>
      <c r="M12" s="32"/>
      <c r="N12" s="20" t="s">
        <v>14</v>
      </c>
      <c r="O12" s="34">
        <f>SUM(L7:L96)</f>
        <v>250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3"/>
      <c r="B13" s="23"/>
      <c r="C13" s="24"/>
      <c r="D13" s="23"/>
      <c r="E13" s="26"/>
      <c r="F13" s="26"/>
      <c r="G13" s="26"/>
      <c r="H13" s="24"/>
      <c r="I13" s="28"/>
      <c r="J13" s="29"/>
      <c r="K13" s="30"/>
      <c r="L13" s="31"/>
      <c r="M13" s="35"/>
      <c r="N13" s="36" t="s">
        <v>17</v>
      </c>
      <c r="O13" s="37">
        <f>SUM(N8:O12)</f>
        <v>250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3"/>
      <c r="B14" s="23"/>
      <c r="C14" s="24"/>
      <c r="D14" s="23"/>
      <c r="E14" s="26"/>
      <c r="F14" s="26"/>
      <c r="G14" s="26"/>
      <c r="H14" s="24"/>
      <c r="I14" s="28"/>
      <c r="J14" s="29"/>
      <c r="K14" s="30"/>
      <c r="L14" s="31"/>
      <c r="M14" s="35"/>
      <c r="N14" s="2"/>
      <c r="O14" s="2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3"/>
      <c r="B15" s="23"/>
      <c r="C15" s="24"/>
      <c r="D15" s="23"/>
      <c r="E15" s="26"/>
      <c r="F15" s="26"/>
      <c r="G15" s="26"/>
      <c r="H15" s="24"/>
      <c r="I15" s="28"/>
      <c r="J15" s="29"/>
      <c r="K15" s="30"/>
      <c r="L15" s="31"/>
      <c r="M15" s="35"/>
      <c r="N15" s="2"/>
      <c r="O15" s="2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3"/>
      <c r="B16" s="23"/>
      <c r="C16" s="24"/>
      <c r="D16" s="23"/>
      <c r="E16" s="26"/>
      <c r="F16" s="26"/>
      <c r="G16" s="26"/>
      <c r="H16" s="24"/>
      <c r="I16" s="28"/>
      <c r="J16" s="29"/>
      <c r="K16" s="30"/>
      <c r="L16" s="31"/>
      <c r="M16" s="35"/>
      <c r="N16" s="2"/>
      <c r="O16" s="2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3"/>
      <c r="B17" s="23"/>
      <c r="C17" s="24"/>
      <c r="D17" s="23"/>
      <c r="E17" s="26"/>
      <c r="F17" s="26"/>
      <c r="G17" s="26"/>
      <c r="H17" s="24"/>
      <c r="I17" s="28"/>
      <c r="J17" s="29"/>
      <c r="K17" s="30"/>
      <c r="L17" s="31"/>
      <c r="M17" s="35"/>
      <c r="N17" s="2"/>
      <c r="O17" s="2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3"/>
      <c r="B18" s="23"/>
      <c r="C18" s="24"/>
      <c r="D18" s="23"/>
      <c r="E18" s="26"/>
      <c r="F18" s="26"/>
      <c r="G18" s="26"/>
      <c r="H18" s="24"/>
      <c r="I18" s="28"/>
      <c r="J18" s="29"/>
      <c r="K18" s="30"/>
      <c r="L18" s="31"/>
      <c r="M18" s="35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3"/>
      <c r="B19" s="23"/>
      <c r="C19" s="24"/>
      <c r="D19" s="23"/>
      <c r="E19" s="26"/>
      <c r="F19" s="26"/>
      <c r="G19" s="26"/>
      <c r="H19" s="24"/>
      <c r="I19" s="28"/>
      <c r="J19" s="29"/>
      <c r="K19" s="30"/>
      <c r="L19" s="31"/>
      <c r="M19" s="3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3"/>
      <c r="B20" s="23"/>
      <c r="C20" s="24"/>
      <c r="D20" s="23"/>
      <c r="E20" s="26"/>
      <c r="F20" s="26"/>
      <c r="G20" s="26"/>
      <c r="H20" s="24"/>
      <c r="I20" s="28"/>
      <c r="J20" s="29"/>
      <c r="K20" s="30"/>
      <c r="L20" s="31"/>
      <c r="M20" s="3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3"/>
      <c r="B21" s="23"/>
      <c r="C21" s="24"/>
      <c r="D21" s="23"/>
      <c r="E21" s="26"/>
      <c r="F21" s="26"/>
      <c r="G21" s="26"/>
      <c r="H21" s="24"/>
      <c r="I21" s="28"/>
      <c r="J21" s="29"/>
      <c r="K21" s="30"/>
      <c r="L21" s="31"/>
      <c r="M21" s="3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3"/>
      <c r="B22" s="23"/>
      <c r="C22" s="24"/>
      <c r="D22" s="23"/>
      <c r="E22" s="26"/>
      <c r="F22" s="26"/>
      <c r="G22" s="26"/>
      <c r="H22" s="24"/>
      <c r="I22" s="28"/>
      <c r="J22" s="29"/>
      <c r="K22" s="30"/>
      <c r="L22" s="31"/>
      <c r="M22" s="3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3"/>
      <c r="B23" s="23"/>
      <c r="C23" s="24"/>
      <c r="D23" s="23"/>
      <c r="E23" s="26"/>
      <c r="F23" s="26"/>
      <c r="G23" s="26"/>
      <c r="H23" s="24"/>
      <c r="I23" s="28"/>
      <c r="J23" s="29"/>
      <c r="K23" s="30"/>
      <c r="L23" s="31"/>
      <c r="M23" s="3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3"/>
      <c r="B24" s="23"/>
      <c r="C24" s="24"/>
      <c r="D24" s="23"/>
      <c r="E24" s="26"/>
      <c r="F24" s="26"/>
      <c r="G24" s="26"/>
      <c r="H24" s="24"/>
      <c r="I24" s="38"/>
      <c r="J24" s="39"/>
      <c r="K24" s="40"/>
      <c r="L24" s="41"/>
      <c r="M24" s="3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3"/>
      <c r="B25" s="23"/>
      <c r="C25" s="24"/>
      <c r="D25" s="23"/>
      <c r="E25" s="26"/>
      <c r="F25" s="26"/>
      <c r="G25" s="26"/>
      <c r="H25" s="24"/>
      <c r="I25" s="38"/>
      <c r="J25" s="39"/>
      <c r="K25" s="40"/>
      <c r="L25" s="41"/>
      <c r="M25" s="3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3"/>
      <c r="B26" s="23"/>
      <c r="C26" s="24"/>
      <c r="D26" s="23"/>
      <c r="E26" s="26"/>
      <c r="F26" s="26"/>
      <c r="G26" s="26"/>
      <c r="H26" s="24"/>
      <c r="I26" s="38"/>
      <c r="J26" s="39"/>
      <c r="K26" s="40"/>
      <c r="L26" s="41"/>
      <c r="M26" s="3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3"/>
      <c r="B27" s="23"/>
      <c r="C27" s="24"/>
      <c r="D27" s="23"/>
      <c r="E27" s="26"/>
      <c r="F27" s="26"/>
      <c r="G27" s="26"/>
      <c r="H27" s="24"/>
      <c r="I27" s="38"/>
      <c r="J27" s="39"/>
      <c r="K27" s="40"/>
      <c r="L27" s="41"/>
      <c r="M27" s="3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3"/>
      <c r="B28" s="23"/>
      <c r="C28" s="24"/>
      <c r="D28" s="23"/>
      <c r="E28" s="26"/>
      <c r="F28" s="26"/>
      <c r="G28" s="26"/>
      <c r="H28" s="24"/>
      <c r="I28" s="38"/>
      <c r="J28" s="39"/>
      <c r="K28" s="40"/>
      <c r="L28" s="41"/>
      <c r="M28" s="35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3"/>
      <c r="B29" s="23"/>
      <c r="C29" s="24"/>
      <c r="D29" s="23"/>
      <c r="E29" s="26"/>
      <c r="F29" s="26"/>
      <c r="G29" s="26"/>
      <c r="H29" s="24"/>
      <c r="I29" s="38"/>
      <c r="J29" s="39"/>
      <c r="K29" s="40"/>
      <c r="L29" s="41"/>
      <c r="M29" s="3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3"/>
      <c r="B30" s="23"/>
      <c r="C30" s="24"/>
      <c r="D30" s="23"/>
      <c r="E30" s="26"/>
      <c r="F30" s="26"/>
      <c r="G30" s="26"/>
      <c r="H30" s="24"/>
      <c r="I30" s="38"/>
      <c r="J30" s="39"/>
      <c r="K30" s="40"/>
      <c r="L30" s="41"/>
      <c r="M30" s="3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3"/>
      <c r="B31" s="23"/>
      <c r="C31" s="24"/>
      <c r="D31" s="23"/>
      <c r="E31" s="26"/>
      <c r="F31" s="26"/>
      <c r="G31" s="26"/>
      <c r="H31" s="24"/>
      <c r="I31" s="38"/>
      <c r="J31" s="39"/>
      <c r="K31" s="40"/>
      <c r="L31" s="41"/>
      <c r="M31" s="3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3"/>
      <c r="B32" s="23"/>
      <c r="C32" s="24"/>
      <c r="D32" s="23"/>
      <c r="E32" s="26"/>
      <c r="F32" s="26"/>
      <c r="G32" s="26"/>
      <c r="H32" s="24"/>
      <c r="I32" s="38"/>
      <c r="J32" s="39"/>
      <c r="K32" s="40"/>
      <c r="L32" s="41"/>
      <c r="M32" s="3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3"/>
      <c r="B33" s="23"/>
      <c r="C33" s="24"/>
      <c r="D33" s="23"/>
      <c r="E33" s="26"/>
      <c r="F33" s="26"/>
      <c r="G33" s="26"/>
      <c r="H33" s="24"/>
      <c r="I33" s="38"/>
      <c r="J33" s="39"/>
      <c r="K33" s="40"/>
      <c r="L33" s="41"/>
      <c r="M33" s="3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3"/>
      <c r="B34" s="23"/>
      <c r="C34" s="24"/>
      <c r="D34" s="23"/>
      <c r="E34" s="26"/>
      <c r="F34" s="26"/>
      <c r="G34" s="26"/>
      <c r="H34" s="24"/>
      <c r="I34" s="38"/>
      <c r="J34" s="39"/>
      <c r="K34" s="40"/>
      <c r="L34" s="41"/>
      <c r="M34" s="3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3"/>
      <c r="B35" s="23"/>
      <c r="C35" s="24"/>
      <c r="D35" s="23"/>
      <c r="E35" s="26"/>
      <c r="F35" s="26"/>
      <c r="G35" s="26"/>
      <c r="H35" s="24"/>
      <c r="I35" s="38"/>
      <c r="J35" s="39"/>
      <c r="K35" s="40"/>
      <c r="L35" s="41"/>
      <c r="M35" s="3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3"/>
      <c r="B36" s="23"/>
      <c r="C36" s="24"/>
      <c r="D36" s="23"/>
      <c r="E36" s="26"/>
      <c r="F36" s="26"/>
      <c r="G36" s="26"/>
      <c r="H36" s="24"/>
      <c r="I36" s="38"/>
      <c r="J36" s="29"/>
      <c r="K36" s="30"/>
      <c r="L36" s="31"/>
      <c r="M36" s="4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3"/>
      <c r="B37" s="23"/>
      <c r="C37" s="24"/>
      <c r="D37" s="23"/>
      <c r="E37" s="26"/>
      <c r="F37" s="26"/>
      <c r="G37" s="26"/>
      <c r="H37" s="24"/>
      <c r="I37" s="38"/>
      <c r="J37" s="29"/>
      <c r="K37" s="30"/>
      <c r="L37" s="31"/>
      <c r="M37" s="4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3"/>
      <c r="B38" s="23"/>
      <c r="C38" s="24"/>
      <c r="D38" s="23"/>
      <c r="E38" s="26"/>
      <c r="F38" s="26"/>
      <c r="G38" s="26"/>
      <c r="H38" s="24"/>
      <c r="I38" s="38"/>
      <c r="J38" s="29"/>
      <c r="K38" s="30"/>
      <c r="L38" s="31"/>
      <c r="M38" s="4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3"/>
      <c r="B39" s="23"/>
      <c r="C39" s="24"/>
      <c r="D39" s="23"/>
      <c r="E39" s="26"/>
      <c r="F39" s="26"/>
      <c r="G39" s="26"/>
      <c r="H39" s="24"/>
      <c r="I39" s="38"/>
      <c r="J39" s="29"/>
      <c r="K39" s="30"/>
      <c r="L39" s="31"/>
      <c r="M39" s="4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3"/>
      <c r="B40" s="23"/>
      <c r="C40" s="24"/>
      <c r="D40" s="23"/>
      <c r="E40" s="26"/>
      <c r="F40" s="26"/>
      <c r="G40" s="26"/>
      <c r="H40" s="24"/>
      <c r="I40" s="38"/>
      <c r="J40" s="29"/>
      <c r="K40" s="30"/>
      <c r="L40" s="31"/>
      <c r="M40" s="4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3"/>
      <c r="B41" s="23"/>
      <c r="C41" s="24"/>
      <c r="D41" s="23"/>
      <c r="E41" s="26"/>
      <c r="F41" s="26"/>
      <c r="G41" s="26"/>
      <c r="H41" s="24"/>
      <c r="I41" s="38"/>
      <c r="J41" s="29"/>
      <c r="K41" s="30"/>
      <c r="L41" s="31"/>
      <c r="M41" s="4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3"/>
      <c r="B42" s="23"/>
      <c r="C42" s="24"/>
      <c r="D42" s="23"/>
      <c r="E42" s="35"/>
      <c r="F42" s="35"/>
      <c r="G42" s="35"/>
      <c r="H42" s="24"/>
      <c r="I42" s="38"/>
      <c r="J42" s="29"/>
      <c r="K42" s="30"/>
      <c r="L42" s="31"/>
      <c r="M42" s="4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3"/>
      <c r="B43" s="23"/>
      <c r="C43" s="24"/>
      <c r="D43" s="23"/>
      <c r="E43" s="26"/>
      <c r="F43" s="26"/>
      <c r="G43" s="26"/>
      <c r="H43" s="24"/>
      <c r="I43" s="38"/>
      <c r="J43" s="29"/>
      <c r="K43" s="30"/>
      <c r="L43" s="31"/>
      <c r="M43" s="4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3"/>
      <c r="B44" s="23"/>
      <c r="C44" s="24"/>
      <c r="D44" s="23"/>
      <c r="E44" s="26"/>
      <c r="F44" s="26"/>
      <c r="G44" s="26"/>
      <c r="H44" s="24"/>
      <c r="I44" s="38"/>
      <c r="J44" s="29"/>
      <c r="K44" s="30"/>
      <c r="L44" s="31"/>
      <c r="M44" s="4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3"/>
      <c r="B45" s="23"/>
      <c r="C45" s="24"/>
      <c r="D45" s="23"/>
      <c r="E45" s="26"/>
      <c r="F45" s="26"/>
      <c r="G45" s="26"/>
      <c r="H45" s="24"/>
      <c r="I45" s="38"/>
      <c r="J45" s="29"/>
      <c r="K45" s="30"/>
      <c r="L45" s="31"/>
      <c r="M45" s="4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3"/>
      <c r="B46" s="23"/>
      <c r="C46" s="24"/>
      <c r="D46" s="23"/>
      <c r="E46" s="26"/>
      <c r="F46" s="26"/>
      <c r="G46" s="26"/>
      <c r="H46" s="24"/>
      <c r="I46" s="28"/>
      <c r="J46" s="29"/>
      <c r="K46" s="30"/>
      <c r="L46" s="31"/>
      <c r="M46" s="4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3"/>
      <c r="B47" s="23"/>
      <c r="C47" s="24"/>
      <c r="D47" s="23"/>
      <c r="E47" s="26"/>
      <c r="F47" s="26"/>
      <c r="G47" s="26"/>
      <c r="H47" s="24"/>
      <c r="I47" s="28"/>
      <c r="J47" s="29"/>
      <c r="K47" s="30"/>
      <c r="L47" s="31"/>
      <c r="M47" s="4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3"/>
      <c r="B48" s="23"/>
      <c r="C48" s="24"/>
      <c r="D48" s="23"/>
      <c r="E48" s="26"/>
      <c r="F48" s="26"/>
      <c r="G48" s="26"/>
      <c r="H48" s="24"/>
      <c r="I48" s="28"/>
      <c r="J48" s="29"/>
      <c r="K48" s="30"/>
      <c r="L48" s="31"/>
      <c r="M48" s="4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3"/>
      <c r="B49" s="23"/>
      <c r="C49" s="24"/>
      <c r="D49" s="23"/>
      <c r="E49" s="26"/>
      <c r="F49" s="26"/>
      <c r="G49" s="26"/>
      <c r="H49" s="24"/>
      <c r="I49" s="28"/>
      <c r="J49" s="29"/>
      <c r="K49" s="30"/>
      <c r="L49" s="31"/>
      <c r="M49" s="4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3"/>
      <c r="B50" s="23"/>
      <c r="C50" s="24"/>
      <c r="D50" s="23"/>
      <c r="E50" s="26"/>
      <c r="F50" s="26"/>
      <c r="G50" s="26"/>
      <c r="H50" s="24"/>
      <c r="I50" s="38"/>
      <c r="J50" s="29"/>
      <c r="K50" s="30"/>
      <c r="L50" s="31"/>
      <c r="M50" s="4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3"/>
      <c r="B51" s="23"/>
      <c r="C51" s="24"/>
      <c r="D51" s="23"/>
      <c r="E51" s="26"/>
      <c r="F51" s="26"/>
      <c r="G51" s="26"/>
      <c r="H51" s="24"/>
      <c r="I51" s="38"/>
      <c r="J51" s="29"/>
      <c r="K51" s="30"/>
      <c r="L51" s="31"/>
      <c r="M51" s="4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3"/>
      <c r="B52" s="23"/>
      <c r="C52" s="24"/>
      <c r="D52" s="23"/>
      <c r="E52" s="26"/>
      <c r="F52" s="26"/>
      <c r="G52" s="26"/>
      <c r="H52" s="24"/>
      <c r="I52" s="38"/>
      <c r="J52" s="29"/>
      <c r="K52" s="30"/>
      <c r="L52" s="31"/>
      <c r="M52" s="4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3"/>
      <c r="B53" s="23"/>
      <c r="C53" s="24"/>
      <c r="D53" s="23"/>
      <c r="E53" s="26"/>
      <c r="F53" s="26"/>
      <c r="G53" s="26"/>
      <c r="H53" s="24"/>
      <c r="I53" s="38"/>
      <c r="J53" s="29"/>
      <c r="K53" s="30"/>
      <c r="L53" s="31"/>
      <c r="M53" s="4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3"/>
      <c r="B54" s="23"/>
      <c r="C54" s="24"/>
      <c r="D54" s="23"/>
      <c r="E54" s="26"/>
      <c r="F54" s="26"/>
      <c r="G54" s="26"/>
      <c r="H54" s="24"/>
      <c r="I54" s="38"/>
      <c r="J54" s="29"/>
      <c r="K54" s="30"/>
      <c r="L54" s="31"/>
      <c r="M54" s="4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3"/>
      <c r="B55" s="23"/>
      <c r="C55" s="24"/>
      <c r="D55" s="23"/>
      <c r="E55" s="26"/>
      <c r="F55" s="26"/>
      <c r="G55" s="26"/>
      <c r="H55" s="24"/>
      <c r="I55" s="38"/>
      <c r="J55" s="29"/>
      <c r="K55" s="30"/>
      <c r="L55" s="31"/>
      <c r="M55" s="4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3"/>
      <c r="B56" s="23"/>
      <c r="C56" s="24"/>
      <c r="D56" s="23"/>
      <c r="E56" s="26"/>
      <c r="F56" s="26"/>
      <c r="G56" s="26"/>
      <c r="H56" s="24"/>
      <c r="I56" s="38"/>
      <c r="J56" s="29"/>
      <c r="K56" s="30"/>
      <c r="L56" s="31"/>
      <c r="M56" s="4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3"/>
      <c r="B57" s="23"/>
      <c r="C57" s="24"/>
      <c r="D57" s="23"/>
      <c r="E57" s="26"/>
      <c r="F57" s="26"/>
      <c r="G57" s="26"/>
      <c r="H57" s="24"/>
      <c r="I57" s="38"/>
      <c r="J57" s="39"/>
      <c r="K57" s="40"/>
      <c r="L57" s="41"/>
      <c r="M57" s="35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3"/>
      <c r="B58" s="23"/>
      <c r="C58" s="24"/>
      <c r="D58" s="23"/>
      <c r="E58" s="26"/>
      <c r="F58" s="26"/>
      <c r="G58" s="26"/>
      <c r="H58" s="24"/>
      <c r="I58" s="38"/>
      <c r="J58" s="29"/>
      <c r="K58" s="30"/>
      <c r="L58" s="31"/>
      <c r="M58" s="4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3"/>
      <c r="B59" s="23"/>
      <c r="C59" s="24"/>
      <c r="D59" s="23"/>
      <c r="E59" s="26"/>
      <c r="F59" s="26"/>
      <c r="G59" s="26"/>
      <c r="H59" s="24"/>
      <c r="I59" s="38"/>
      <c r="J59" s="29"/>
      <c r="K59" s="30"/>
      <c r="L59" s="31"/>
      <c r="M59" s="4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3"/>
      <c r="B60" s="23"/>
      <c r="C60" s="24"/>
      <c r="D60" s="23"/>
      <c r="E60" s="26"/>
      <c r="F60" s="26"/>
      <c r="G60" s="26"/>
      <c r="H60" s="24"/>
      <c r="I60" s="38"/>
      <c r="J60" s="29"/>
      <c r="K60" s="30"/>
      <c r="L60" s="31"/>
      <c r="M60" s="4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3"/>
      <c r="B61" s="23"/>
      <c r="C61" s="24"/>
      <c r="D61" s="23"/>
      <c r="E61" s="26"/>
      <c r="F61" s="26"/>
      <c r="G61" s="26"/>
      <c r="H61" s="24"/>
      <c r="I61" s="38"/>
      <c r="J61" s="29"/>
      <c r="K61" s="30"/>
      <c r="L61" s="31"/>
      <c r="M61" s="4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3"/>
      <c r="B62" s="23"/>
      <c r="C62" s="24"/>
      <c r="D62" s="23"/>
      <c r="E62" s="26"/>
      <c r="F62" s="26"/>
      <c r="G62" s="26"/>
      <c r="H62" s="24"/>
      <c r="I62" s="38"/>
      <c r="J62" s="29"/>
      <c r="K62" s="30"/>
      <c r="L62" s="31"/>
      <c r="M62" s="4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3"/>
      <c r="B63" s="23"/>
      <c r="C63" s="24"/>
      <c r="D63" s="23"/>
      <c r="E63" s="26"/>
      <c r="F63" s="26"/>
      <c r="G63" s="26"/>
      <c r="H63" s="24"/>
      <c r="I63" s="38"/>
      <c r="J63" s="29"/>
      <c r="K63" s="30"/>
      <c r="L63" s="31"/>
      <c r="M63" s="4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3"/>
      <c r="B64" s="23"/>
      <c r="C64" s="24"/>
      <c r="D64" s="23"/>
      <c r="E64" s="26"/>
      <c r="F64" s="26"/>
      <c r="G64" s="26"/>
      <c r="H64" s="24"/>
      <c r="I64" s="38"/>
      <c r="J64" s="29"/>
      <c r="K64" s="30"/>
      <c r="L64" s="31"/>
      <c r="M64" s="4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3"/>
      <c r="B65" s="23"/>
      <c r="C65" s="24"/>
      <c r="D65" s="23"/>
      <c r="E65" s="26"/>
      <c r="F65" s="26"/>
      <c r="G65" s="26"/>
      <c r="H65" s="24"/>
      <c r="I65" s="38"/>
      <c r="J65" s="29"/>
      <c r="K65" s="30"/>
      <c r="L65" s="31"/>
      <c r="M65" s="4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3"/>
      <c r="B66" s="23"/>
      <c r="C66" s="24"/>
      <c r="D66" s="23"/>
      <c r="E66" s="26"/>
      <c r="F66" s="26"/>
      <c r="G66" s="26"/>
      <c r="H66" s="24"/>
      <c r="I66" s="38"/>
      <c r="J66" s="29"/>
      <c r="K66" s="30"/>
      <c r="L66" s="31"/>
      <c r="M66" s="4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3"/>
      <c r="B67" s="23"/>
      <c r="C67" s="24"/>
      <c r="D67" s="23"/>
      <c r="E67" s="26"/>
      <c r="F67" s="26"/>
      <c r="G67" s="26"/>
      <c r="H67" s="24"/>
      <c r="I67" s="38"/>
      <c r="J67" s="29"/>
      <c r="K67" s="30"/>
      <c r="L67" s="31"/>
      <c r="M67" s="4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3"/>
      <c r="B68" s="23"/>
      <c r="C68" s="24"/>
      <c r="D68" s="23"/>
      <c r="E68" s="26"/>
      <c r="F68" s="26"/>
      <c r="G68" s="26"/>
      <c r="H68" s="24"/>
      <c r="I68" s="38"/>
      <c r="J68" s="29"/>
      <c r="K68" s="30"/>
      <c r="L68" s="31"/>
      <c r="M68" s="4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3"/>
      <c r="B69" s="23"/>
      <c r="C69" s="24"/>
      <c r="D69" s="23"/>
      <c r="E69" s="26"/>
      <c r="F69" s="26"/>
      <c r="G69" s="26"/>
      <c r="H69" s="24"/>
      <c r="I69" s="38"/>
      <c r="J69" s="29"/>
      <c r="K69" s="30"/>
      <c r="L69" s="31"/>
      <c r="M69" s="4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3"/>
      <c r="B70" s="23"/>
      <c r="C70" s="24"/>
      <c r="D70" s="23"/>
      <c r="E70" s="26"/>
      <c r="F70" s="26"/>
      <c r="G70" s="26"/>
      <c r="H70" s="24"/>
      <c r="I70" s="38"/>
      <c r="J70" s="29"/>
      <c r="K70" s="30"/>
      <c r="L70" s="31"/>
      <c r="M70" s="4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3"/>
      <c r="B71" s="23"/>
      <c r="C71" s="24"/>
      <c r="D71" s="23"/>
      <c r="E71" s="26"/>
      <c r="F71" s="26"/>
      <c r="G71" s="26"/>
      <c r="H71" s="24"/>
      <c r="I71" s="38"/>
      <c r="J71" s="29"/>
      <c r="K71" s="30"/>
      <c r="L71" s="31"/>
      <c r="M71" s="4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3"/>
      <c r="B72" s="23"/>
      <c r="C72" s="24"/>
      <c r="D72" s="23"/>
      <c r="E72" s="26"/>
      <c r="F72" s="26"/>
      <c r="G72" s="26"/>
      <c r="H72" s="24"/>
      <c r="I72" s="38"/>
      <c r="J72" s="29"/>
      <c r="K72" s="30"/>
      <c r="L72" s="31"/>
      <c r="M72" s="4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3"/>
      <c r="B73" s="23"/>
      <c r="C73" s="24"/>
      <c r="D73" s="23"/>
      <c r="E73" s="26"/>
      <c r="F73" s="26"/>
      <c r="G73" s="26"/>
      <c r="H73" s="24"/>
      <c r="I73" s="38"/>
      <c r="J73" s="39"/>
      <c r="K73" s="40"/>
      <c r="L73" s="41"/>
      <c r="M73" s="35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3"/>
      <c r="B74" s="23"/>
      <c r="C74" s="24"/>
      <c r="D74" s="23"/>
      <c r="E74" s="26"/>
      <c r="F74" s="26"/>
      <c r="G74" s="26"/>
      <c r="H74" s="24"/>
      <c r="I74" s="38"/>
      <c r="J74" s="29"/>
      <c r="K74" s="30"/>
      <c r="L74" s="31"/>
      <c r="M74" s="4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3"/>
      <c r="B75" s="23"/>
      <c r="C75" s="24"/>
      <c r="D75" s="23"/>
      <c r="E75" s="26"/>
      <c r="F75" s="26"/>
      <c r="G75" s="26"/>
      <c r="H75" s="24"/>
      <c r="I75" s="38"/>
      <c r="J75" s="29"/>
      <c r="K75" s="30"/>
      <c r="L75" s="31"/>
      <c r="M75" s="4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3"/>
      <c r="B76" s="23"/>
      <c r="C76" s="24"/>
      <c r="D76" s="23"/>
      <c r="E76" s="26"/>
      <c r="F76" s="26"/>
      <c r="G76" s="26"/>
      <c r="H76" s="24"/>
      <c r="I76" s="38"/>
      <c r="J76" s="29"/>
      <c r="K76" s="30"/>
      <c r="L76" s="31"/>
      <c r="M76" s="4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3"/>
      <c r="B77" s="23"/>
      <c r="C77" s="24"/>
      <c r="D77" s="23"/>
      <c r="E77" s="26"/>
      <c r="F77" s="26"/>
      <c r="G77" s="26"/>
      <c r="H77" s="24"/>
      <c r="I77" s="38"/>
      <c r="J77" s="29"/>
      <c r="K77" s="30"/>
      <c r="L77" s="31"/>
      <c r="M77" s="4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3"/>
      <c r="B78" s="23"/>
      <c r="C78" s="24"/>
      <c r="D78" s="23"/>
      <c r="E78" s="26"/>
      <c r="F78" s="26"/>
      <c r="G78" s="26"/>
      <c r="H78" s="24"/>
      <c r="I78" s="38"/>
      <c r="J78" s="29"/>
      <c r="K78" s="30"/>
      <c r="L78" s="31"/>
      <c r="M78" s="4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3"/>
      <c r="B79" s="23"/>
      <c r="C79" s="24"/>
      <c r="D79" s="23"/>
      <c r="E79" s="26"/>
      <c r="F79" s="26"/>
      <c r="G79" s="26"/>
      <c r="H79" s="24"/>
      <c r="I79" s="38"/>
      <c r="J79" s="29"/>
      <c r="K79" s="30"/>
      <c r="L79" s="31"/>
      <c r="M79" s="4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3"/>
      <c r="B80" s="23"/>
      <c r="C80" s="24"/>
      <c r="D80" s="23"/>
      <c r="E80" s="26"/>
      <c r="F80" s="26"/>
      <c r="G80" s="26"/>
      <c r="H80" s="24"/>
      <c r="I80" s="38"/>
      <c r="J80" s="39"/>
      <c r="K80" s="40"/>
      <c r="L80" s="41"/>
      <c r="M80" s="35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3"/>
      <c r="B81" s="23"/>
      <c r="C81" s="24"/>
      <c r="D81" s="23"/>
      <c r="E81" s="26"/>
      <c r="F81" s="26"/>
      <c r="G81" s="26"/>
      <c r="H81" s="24"/>
      <c r="I81" s="38"/>
      <c r="J81" s="29"/>
      <c r="K81" s="30"/>
      <c r="L81" s="31"/>
      <c r="M81" s="4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3"/>
      <c r="B82" s="23"/>
      <c r="C82" s="24"/>
      <c r="D82" s="23"/>
      <c r="E82" s="26"/>
      <c r="F82" s="26"/>
      <c r="G82" s="26"/>
      <c r="H82" s="24"/>
      <c r="I82" s="38"/>
      <c r="J82" s="29"/>
      <c r="K82" s="30"/>
      <c r="L82" s="31"/>
      <c r="M82" s="4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3"/>
      <c r="B83" s="23"/>
      <c r="C83" s="24"/>
      <c r="D83" s="23"/>
      <c r="E83" s="26"/>
      <c r="F83" s="26"/>
      <c r="G83" s="26"/>
      <c r="H83" s="24"/>
      <c r="I83" s="38"/>
      <c r="J83" s="39"/>
      <c r="K83" s="40"/>
      <c r="L83" s="41"/>
      <c r="M83" s="35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3"/>
      <c r="B84" s="23"/>
      <c r="C84" s="24"/>
      <c r="D84" s="23"/>
      <c r="E84" s="26"/>
      <c r="F84" s="26"/>
      <c r="G84" s="26"/>
      <c r="H84" s="24"/>
      <c r="I84" s="38"/>
      <c r="J84" s="39"/>
      <c r="K84" s="40"/>
      <c r="L84" s="41"/>
      <c r="M84" s="35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3"/>
      <c r="B85" s="23"/>
      <c r="C85" s="24"/>
      <c r="D85" s="23"/>
      <c r="E85" s="26"/>
      <c r="F85" s="26"/>
      <c r="G85" s="26"/>
      <c r="H85" s="24"/>
      <c r="I85" s="38"/>
      <c r="J85" s="39"/>
      <c r="K85" s="40"/>
      <c r="L85" s="41"/>
      <c r="M85" s="35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3"/>
      <c r="B86" s="23"/>
      <c r="C86" s="24"/>
      <c r="D86" s="23"/>
      <c r="E86" s="26"/>
      <c r="F86" s="26"/>
      <c r="G86" s="26"/>
      <c r="H86" s="24"/>
      <c r="I86" s="38"/>
      <c r="J86" s="39"/>
      <c r="K86" s="40"/>
      <c r="L86" s="41"/>
      <c r="M86" s="35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3"/>
      <c r="B87" s="23"/>
      <c r="C87" s="24"/>
      <c r="D87" s="23"/>
      <c r="E87" s="26"/>
      <c r="F87" s="26"/>
      <c r="G87" s="26"/>
      <c r="H87" s="24"/>
      <c r="I87" s="38"/>
      <c r="J87" s="39"/>
      <c r="K87" s="40"/>
      <c r="L87" s="41"/>
      <c r="M87" s="35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3"/>
      <c r="B88" s="23"/>
      <c r="C88" s="24"/>
      <c r="D88" s="23"/>
      <c r="E88" s="26"/>
      <c r="F88" s="26"/>
      <c r="G88" s="26"/>
      <c r="H88" s="24"/>
      <c r="I88" s="38"/>
      <c r="J88" s="39"/>
      <c r="K88" s="40"/>
      <c r="L88" s="41"/>
      <c r="M88" s="35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3"/>
      <c r="B89" s="23"/>
      <c r="C89" s="24"/>
      <c r="D89" s="23"/>
      <c r="E89" s="26"/>
      <c r="F89" s="26"/>
      <c r="G89" s="26"/>
      <c r="H89" s="24"/>
      <c r="I89" s="38"/>
      <c r="J89" s="39"/>
      <c r="K89" s="40"/>
      <c r="L89" s="41"/>
      <c r="M89" s="35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3"/>
      <c r="B90" s="23"/>
      <c r="C90" s="24"/>
      <c r="D90" s="23"/>
      <c r="E90" s="26"/>
      <c r="F90" s="26"/>
      <c r="G90" s="26"/>
      <c r="H90" s="24"/>
      <c r="I90" s="38"/>
      <c r="J90" s="39"/>
      <c r="K90" s="40"/>
      <c r="L90" s="41"/>
      <c r="M90" s="35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3"/>
      <c r="B91" s="23"/>
      <c r="C91" s="24"/>
      <c r="D91" s="23"/>
      <c r="E91" s="26"/>
      <c r="F91" s="26"/>
      <c r="G91" s="26"/>
      <c r="H91" s="24"/>
      <c r="I91" s="38"/>
      <c r="J91" s="39"/>
      <c r="K91" s="40"/>
      <c r="L91" s="41"/>
      <c r="M91" s="35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3"/>
      <c r="B92" s="23"/>
      <c r="C92" s="24"/>
      <c r="D92" s="23"/>
      <c r="E92" s="26"/>
      <c r="F92" s="26"/>
      <c r="G92" s="26"/>
      <c r="H92" s="24"/>
      <c r="I92" s="38"/>
      <c r="J92" s="39"/>
      <c r="K92" s="40"/>
      <c r="L92" s="41"/>
      <c r="M92" s="35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3"/>
      <c r="B93" s="23"/>
      <c r="C93" s="24"/>
      <c r="D93" s="23"/>
      <c r="E93" s="26"/>
      <c r="F93" s="26"/>
      <c r="G93" s="26"/>
      <c r="H93" s="24"/>
      <c r="I93" s="38"/>
      <c r="J93" s="39"/>
      <c r="K93" s="40"/>
      <c r="L93" s="41"/>
      <c r="M93" s="35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3"/>
      <c r="B94" s="23"/>
      <c r="C94" s="24"/>
      <c r="D94" s="23"/>
      <c r="E94" s="26"/>
      <c r="F94" s="26"/>
      <c r="G94" s="26"/>
      <c r="H94" s="24"/>
      <c r="I94" s="38"/>
      <c r="J94" s="39"/>
      <c r="K94" s="40"/>
      <c r="L94" s="41"/>
      <c r="M94" s="35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3"/>
      <c r="B95" s="23"/>
      <c r="C95" s="24"/>
      <c r="D95" s="23"/>
      <c r="E95" s="26"/>
      <c r="F95" s="26"/>
      <c r="G95" s="26"/>
      <c r="H95" s="24"/>
      <c r="I95" s="38"/>
      <c r="J95" s="39"/>
      <c r="K95" s="40"/>
      <c r="L95" s="41"/>
      <c r="M95" s="35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2"/>
      <c r="B96" s="1"/>
      <c r="C96" s="43"/>
      <c r="D96" s="44"/>
      <c r="E96" s="45"/>
      <c r="F96" s="2"/>
      <c r="G96" s="2"/>
      <c r="H96" s="2"/>
      <c r="I96" s="46"/>
      <c r="J96" s="47"/>
      <c r="K96" s="40"/>
      <c r="L96" s="41"/>
      <c r="M96" s="35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/>
      <c r="B97" s="1"/>
      <c r="C97" s="48"/>
      <c r="D97" s="49"/>
      <c r="E97" s="50"/>
      <c r="F97" s="2"/>
      <c r="G97" s="2"/>
      <c r="H97" s="2"/>
      <c r="I97" s="46"/>
      <c r="J97" s="46"/>
      <c r="K97" s="46"/>
      <c r="L97" s="46"/>
      <c r="M97" s="51">
        <f>SUM(M7:M96)</f>
        <v>250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/>
      <c r="B98" s="52"/>
      <c r="C98" s="43"/>
      <c r="D98" s="2"/>
      <c r="E98" s="2"/>
      <c r="F98" s="2"/>
      <c r="G98" s="2"/>
      <c r="H98" s="2"/>
      <c r="I98" s="46"/>
      <c r="J98" s="46"/>
      <c r="K98" s="46"/>
      <c r="L98" s="46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43"/>
      <c r="D99" s="2"/>
      <c r="E99" s="2"/>
      <c r="F99" s="2"/>
      <c r="G99" s="2"/>
      <c r="H99" s="2"/>
      <c r="I99" s="53"/>
      <c r="J99" s="46"/>
      <c r="K99" s="46"/>
      <c r="L99" s="46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2"/>
      <c r="D100" s="2"/>
      <c r="E100" s="2"/>
      <c r="F100" s="2"/>
      <c r="G100" s="2"/>
      <c r="H100" s="2"/>
      <c r="I100" s="46"/>
      <c r="J100" s="53"/>
      <c r="K100" s="53"/>
      <c r="L100" s="53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2"/>
      <c r="D101" s="2"/>
      <c r="E101" s="2"/>
      <c r="F101" s="2"/>
      <c r="G101" s="2"/>
      <c r="H101" s="2"/>
      <c r="I101" s="46"/>
      <c r="J101" s="46"/>
      <c r="K101" s="46"/>
      <c r="L101" s="46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2"/>
      <c r="D102" s="2"/>
      <c r="E102" s="2"/>
      <c r="F102" s="2"/>
      <c r="G102" s="2"/>
      <c r="H102" s="2"/>
      <c r="I102" s="46"/>
      <c r="J102" s="46"/>
      <c r="K102" s="46"/>
      <c r="L102" s="46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2"/>
      <c r="D103" s="2"/>
      <c r="E103" s="2"/>
      <c r="F103" s="2"/>
      <c r="G103" s="2"/>
      <c r="H103" s="2"/>
      <c r="I103" s="46"/>
      <c r="J103" s="46"/>
      <c r="K103" s="46"/>
      <c r="L103" s="46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2"/>
      <c r="D104" s="2"/>
      <c r="E104" s="2"/>
      <c r="F104" s="2"/>
      <c r="G104" s="2"/>
      <c r="H104" s="2"/>
      <c r="I104" s="46"/>
      <c r="J104" s="46"/>
      <c r="K104" s="46"/>
      <c r="L104" s="46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2"/>
      <c r="D105" s="2"/>
      <c r="E105" s="2"/>
      <c r="F105" s="2"/>
      <c r="G105" s="2"/>
      <c r="H105" s="2"/>
      <c r="I105" s="17" t="s">
        <v>11</v>
      </c>
      <c r="J105" s="46"/>
      <c r="K105" s="46"/>
      <c r="L105" s="46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2"/>
      <c r="D106" s="2"/>
      <c r="E106" s="2"/>
      <c r="F106" s="2"/>
      <c r="G106" s="2"/>
      <c r="H106" s="2"/>
      <c r="I106" s="54">
        <f>SUM(I7:I96)</f>
        <v>0</v>
      </c>
      <c r="J106" s="55" t="s">
        <v>12</v>
      </c>
      <c r="K106" s="56"/>
      <c r="L106" s="57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2"/>
      <c r="D107" s="2"/>
      <c r="E107" s="2"/>
      <c r="F107" s="2"/>
      <c r="G107" s="2"/>
      <c r="H107" s="2"/>
      <c r="I107" s="58">
        <f>SUM(I106*2%)</f>
        <v>0</v>
      </c>
      <c r="J107" s="59">
        <f>SUM(J7:J96)</f>
        <v>0</v>
      </c>
      <c r="K107" s="60" t="s">
        <v>18</v>
      </c>
      <c r="L107" s="57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61"/>
      <c r="J108" s="54">
        <f>SUM(J107*2%)</f>
        <v>0</v>
      </c>
      <c r="K108" s="54">
        <f>SUM(K7:K96)</f>
        <v>0</v>
      </c>
      <c r="L108" s="62" t="s">
        <v>14</v>
      </c>
      <c r="M108" s="3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61"/>
      <c r="J109" s="63"/>
      <c r="K109" s="58">
        <f>SUM(K108*2%)</f>
        <v>0</v>
      </c>
      <c r="L109" s="127">
        <v>250.0</v>
      </c>
      <c r="M109" s="65" t="s">
        <v>19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61"/>
      <c r="J110" s="61"/>
      <c r="K110" s="61"/>
      <c r="L110" s="58">
        <f>SUM(L109*2%)</f>
        <v>5</v>
      </c>
      <c r="M110" s="66">
        <f>SUM(M97)</f>
        <v>250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61"/>
      <c r="J111" s="61"/>
      <c r="K111" s="61"/>
      <c r="L111" s="6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61"/>
      <c r="J112" s="61"/>
      <c r="K112" s="61"/>
      <c r="L112" s="6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61"/>
      <c r="J113" s="61"/>
      <c r="K113" s="61"/>
      <c r="L113" s="6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61"/>
      <c r="J114" s="61"/>
      <c r="K114" s="61"/>
      <c r="L114" s="6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61"/>
      <c r="J115" s="61"/>
      <c r="K115" s="61"/>
      <c r="L115" s="6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61"/>
      <c r="J116" s="61"/>
      <c r="K116" s="61"/>
      <c r="L116" s="6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61"/>
      <c r="J117" s="61"/>
      <c r="K117" s="61"/>
      <c r="L117" s="6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61"/>
      <c r="J118" s="61"/>
      <c r="K118" s="61"/>
      <c r="L118" s="6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61"/>
      <c r="J119" s="61"/>
      <c r="K119" s="61"/>
      <c r="L119" s="6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61"/>
      <c r="J120" s="61"/>
      <c r="K120" s="61"/>
      <c r="L120" s="6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61"/>
      <c r="J121" s="61"/>
      <c r="K121" s="61"/>
      <c r="L121" s="6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61"/>
      <c r="J122" s="61"/>
      <c r="K122" s="61"/>
      <c r="L122" s="6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61"/>
      <c r="J123" s="61"/>
      <c r="K123" s="61"/>
      <c r="L123" s="6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61"/>
      <c r="J124" s="61"/>
      <c r="K124" s="61"/>
      <c r="L124" s="6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61"/>
      <c r="J125" s="61"/>
      <c r="K125" s="61"/>
      <c r="L125" s="6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61"/>
      <c r="J126" s="61"/>
      <c r="K126" s="61"/>
      <c r="L126" s="6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61"/>
      <c r="J127" s="61"/>
      <c r="K127" s="61"/>
      <c r="L127" s="6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61"/>
      <c r="J128" s="61"/>
      <c r="K128" s="61"/>
      <c r="L128" s="6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61"/>
      <c r="J129" s="61"/>
      <c r="K129" s="61"/>
      <c r="L129" s="6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61"/>
      <c r="J130" s="61"/>
      <c r="K130" s="61"/>
      <c r="L130" s="6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61"/>
      <c r="J131" s="61"/>
      <c r="K131" s="61"/>
      <c r="L131" s="6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61"/>
      <c r="J132" s="61"/>
      <c r="K132" s="61"/>
      <c r="L132" s="6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61"/>
      <c r="J133" s="61"/>
      <c r="K133" s="61"/>
      <c r="L133" s="6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61"/>
      <c r="J134" s="61"/>
      <c r="K134" s="61"/>
      <c r="L134" s="6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61"/>
      <c r="J135" s="61"/>
      <c r="K135" s="61"/>
      <c r="L135" s="6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61"/>
      <c r="J136" s="61"/>
      <c r="K136" s="61"/>
      <c r="L136" s="6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61"/>
      <c r="J137" s="61"/>
      <c r="K137" s="61"/>
      <c r="L137" s="6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61"/>
      <c r="J138" s="61"/>
      <c r="K138" s="61"/>
      <c r="L138" s="6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61"/>
      <c r="J139" s="61"/>
      <c r="K139" s="61"/>
      <c r="L139" s="6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61"/>
      <c r="J140" s="61"/>
      <c r="K140" s="61"/>
      <c r="L140" s="6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61"/>
      <c r="J141" s="61"/>
      <c r="K141" s="61"/>
      <c r="L141" s="6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61"/>
      <c r="J142" s="61"/>
      <c r="K142" s="61"/>
      <c r="L142" s="6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61"/>
      <c r="J143" s="61"/>
      <c r="K143" s="61"/>
      <c r="L143" s="6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61"/>
      <c r="J144" s="61"/>
      <c r="K144" s="61"/>
      <c r="L144" s="6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61"/>
      <c r="J145" s="61"/>
      <c r="K145" s="61"/>
      <c r="L145" s="6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61"/>
      <c r="J146" s="61"/>
      <c r="K146" s="61"/>
      <c r="L146" s="6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61"/>
      <c r="J147" s="61"/>
      <c r="K147" s="61"/>
      <c r="L147" s="6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61"/>
      <c r="J148" s="61"/>
      <c r="K148" s="61"/>
      <c r="L148" s="6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61"/>
      <c r="J149" s="61"/>
      <c r="K149" s="61"/>
      <c r="L149" s="6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61"/>
      <c r="J150" s="61"/>
      <c r="K150" s="61"/>
      <c r="L150" s="6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61"/>
      <c r="J151" s="61"/>
      <c r="K151" s="61"/>
      <c r="L151" s="6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61"/>
      <c r="J152" s="61"/>
      <c r="K152" s="61"/>
      <c r="L152" s="6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61"/>
      <c r="J153" s="61"/>
      <c r="K153" s="61"/>
      <c r="L153" s="6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61"/>
      <c r="J154" s="61"/>
      <c r="K154" s="61"/>
      <c r="L154" s="6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61"/>
      <c r="J155" s="61"/>
      <c r="K155" s="61"/>
      <c r="L155" s="6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61"/>
      <c r="J156" s="61"/>
      <c r="K156" s="61"/>
      <c r="L156" s="6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61"/>
      <c r="J157" s="61"/>
      <c r="K157" s="61"/>
      <c r="L157" s="6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61"/>
      <c r="J158" s="61"/>
      <c r="K158" s="61"/>
      <c r="L158" s="6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61"/>
      <c r="J159" s="61"/>
      <c r="K159" s="61"/>
      <c r="L159" s="6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61"/>
      <c r="J160" s="61"/>
      <c r="K160" s="61"/>
      <c r="L160" s="6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61"/>
      <c r="J161" s="61"/>
      <c r="K161" s="61"/>
      <c r="L161" s="6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61"/>
      <c r="J162" s="61"/>
      <c r="K162" s="61"/>
      <c r="L162" s="6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61"/>
      <c r="J163" s="61"/>
      <c r="K163" s="61"/>
      <c r="L163" s="6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61"/>
      <c r="J164" s="61"/>
      <c r="K164" s="61"/>
      <c r="L164" s="6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61"/>
      <c r="J165" s="61"/>
      <c r="K165" s="61"/>
      <c r="L165" s="6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61"/>
      <c r="J166" s="61"/>
      <c r="K166" s="61"/>
      <c r="L166" s="6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61"/>
      <c r="J167" s="61"/>
      <c r="K167" s="61"/>
      <c r="L167" s="6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61"/>
      <c r="J168" s="61"/>
      <c r="K168" s="61"/>
      <c r="L168" s="6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61"/>
      <c r="J169" s="61"/>
      <c r="K169" s="61"/>
      <c r="L169" s="6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61"/>
      <c r="J170" s="61"/>
      <c r="K170" s="61"/>
      <c r="L170" s="6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61"/>
      <c r="J171" s="61"/>
      <c r="K171" s="61"/>
      <c r="L171" s="6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61"/>
      <c r="J172" s="61"/>
      <c r="K172" s="61"/>
      <c r="L172" s="6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61"/>
      <c r="J173" s="61"/>
      <c r="K173" s="61"/>
      <c r="L173" s="6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61"/>
      <c r="J174" s="61"/>
      <c r="K174" s="61"/>
      <c r="L174" s="6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61"/>
      <c r="J175" s="61"/>
      <c r="K175" s="61"/>
      <c r="L175" s="6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61"/>
      <c r="J176" s="61"/>
      <c r="K176" s="61"/>
      <c r="L176" s="6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61"/>
      <c r="J177" s="61"/>
      <c r="K177" s="61"/>
      <c r="L177" s="6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61"/>
      <c r="J178" s="61"/>
      <c r="K178" s="61"/>
      <c r="L178" s="6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61"/>
      <c r="J179" s="61"/>
      <c r="K179" s="61"/>
      <c r="L179" s="6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61"/>
      <c r="J180" s="61"/>
      <c r="K180" s="61"/>
      <c r="L180" s="6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61"/>
      <c r="J181" s="61"/>
      <c r="K181" s="61"/>
      <c r="L181" s="6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61"/>
      <c r="J182" s="61"/>
      <c r="K182" s="61"/>
      <c r="L182" s="6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61"/>
      <c r="J183" s="61"/>
      <c r="K183" s="61"/>
      <c r="L183" s="6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61"/>
      <c r="J184" s="61"/>
      <c r="K184" s="61"/>
      <c r="L184" s="6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61"/>
      <c r="J185" s="61"/>
      <c r="K185" s="61"/>
      <c r="L185" s="6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61"/>
      <c r="J186" s="61"/>
      <c r="K186" s="61"/>
      <c r="L186" s="6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61"/>
      <c r="J187" s="61"/>
      <c r="K187" s="61"/>
      <c r="L187" s="6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61"/>
      <c r="J188" s="61"/>
      <c r="K188" s="61"/>
      <c r="L188" s="6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61"/>
      <c r="J189" s="61"/>
      <c r="K189" s="61"/>
      <c r="L189" s="6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61"/>
      <c r="J190" s="61"/>
      <c r="K190" s="61"/>
      <c r="L190" s="6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61"/>
      <c r="J191" s="61"/>
      <c r="K191" s="61"/>
      <c r="L191" s="6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61"/>
      <c r="J192" s="61"/>
      <c r="K192" s="61"/>
      <c r="L192" s="6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61"/>
      <c r="J193" s="61"/>
      <c r="K193" s="61"/>
      <c r="L193" s="6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61"/>
      <c r="J194" s="61"/>
      <c r="K194" s="61"/>
      <c r="L194" s="6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61"/>
      <c r="J195" s="61"/>
      <c r="K195" s="61"/>
      <c r="L195" s="6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61"/>
      <c r="J196" s="61"/>
      <c r="K196" s="61"/>
      <c r="L196" s="6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61"/>
      <c r="J197" s="61"/>
      <c r="K197" s="61"/>
      <c r="L197" s="6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61"/>
      <c r="J198" s="61"/>
      <c r="K198" s="61"/>
      <c r="L198" s="6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61"/>
      <c r="J199" s="61"/>
      <c r="K199" s="61"/>
      <c r="L199" s="6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61"/>
      <c r="J200" s="61"/>
      <c r="K200" s="61"/>
      <c r="L200" s="6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61"/>
      <c r="J201" s="61"/>
      <c r="K201" s="61"/>
      <c r="L201" s="6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61"/>
      <c r="J202" s="61"/>
      <c r="K202" s="61"/>
      <c r="L202" s="6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61"/>
      <c r="J203" s="61"/>
      <c r="K203" s="61"/>
      <c r="L203" s="6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61"/>
      <c r="J204" s="61"/>
      <c r="K204" s="61"/>
      <c r="L204" s="6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61"/>
      <c r="J205" s="61"/>
      <c r="K205" s="61"/>
      <c r="L205" s="6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61"/>
      <c r="J206" s="61"/>
      <c r="K206" s="61"/>
      <c r="L206" s="6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61"/>
      <c r="J207" s="61"/>
      <c r="K207" s="61"/>
      <c r="L207" s="6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61"/>
      <c r="J208" s="61"/>
      <c r="K208" s="61"/>
      <c r="L208" s="6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61"/>
      <c r="J209" s="61"/>
      <c r="K209" s="61"/>
      <c r="L209" s="6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61"/>
      <c r="J210" s="61"/>
      <c r="K210" s="61"/>
      <c r="L210" s="6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61"/>
      <c r="J211" s="61"/>
      <c r="K211" s="61"/>
      <c r="L211" s="6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61"/>
      <c r="J212" s="61"/>
      <c r="K212" s="61"/>
      <c r="L212" s="6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61"/>
      <c r="J213" s="61"/>
      <c r="K213" s="61"/>
      <c r="L213" s="6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61"/>
      <c r="J214" s="61"/>
      <c r="K214" s="61"/>
      <c r="L214" s="6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61"/>
      <c r="J215" s="61"/>
      <c r="K215" s="61"/>
      <c r="L215" s="6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61"/>
      <c r="J216" s="61"/>
      <c r="K216" s="61"/>
      <c r="L216" s="6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61"/>
      <c r="J217" s="61"/>
      <c r="K217" s="61"/>
      <c r="L217" s="6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61"/>
      <c r="J218" s="61"/>
      <c r="K218" s="61"/>
      <c r="L218" s="6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61"/>
      <c r="J219" s="61"/>
      <c r="K219" s="61"/>
      <c r="L219" s="6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61"/>
      <c r="J220" s="61"/>
      <c r="K220" s="61"/>
      <c r="L220" s="6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61"/>
      <c r="J221" s="61"/>
      <c r="K221" s="61"/>
      <c r="L221" s="6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61"/>
      <c r="J222" s="61"/>
      <c r="K222" s="61"/>
      <c r="L222" s="6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61"/>
      <c r="J223" s="61"/>
      <c r="K223" s="61"/>
      <c r="L223" s="6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61"/>
      <c r="J224" s="61"/>
      <c r="K224" s="61"/>
      <c r="L224" s="6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61"/>
      <c r="J225" s="61"/>
      <c r="K225" s="61"/>
      <c r="L225" s="6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61"/>
      <c r="J226" s="61"/>
      <c r="K226" s="61"/>
      <c r="L226" s="6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61"/>
      <c r="J227" s="61"/>
      <c r="K227" s="61"/>
      <c r="L227" s="6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61"/>
      <c r="J228" s="61"/>
      <c r="K228" s="61"/>
      <c r="L228" s="6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61"/>
      <c r="J229" s="61"/>
      <c r="K229" s="61"/>
      <c r="L229" s="6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61"/>
      <c r="J230" s="61"/>
      <c r="K230" s="61"/>
      <c r="L230" s="6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61"/>
      <c r="J231" s="61"/>
      <c r="K231" s="61"/>
      <c r="L231" s="6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61"/>
      <c r="J232" s="61"/>
      <c r="K232" s="61"/>
      <c r="L232" s="6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61"/>
      <c r="J233" s="61"/>
      <c r="K233" s="61"/>
      <c r="L233" s="6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61"/>
      <c r="J234" s="61"/>
      <c r="K234" s="61"/>
      <c r="L234" s="6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61"/>
      <c r="J235" s="61"/>
      <c r="K235" s="61"/>
      <c r="L235" s="6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61"/>
      <c r="J236" s="61"/>
      <c r="K236" s="61"/>
      <c r="L236" s="6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61"/>
      <c r="J237" s="61"/>
      <c r="K237" s="61"/>
      <c r="L237" s="6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61"/>
      <c r="J238" s="61"/>
      <c r="K238" s="61"/>
      <c r="L238" s="6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61"/>
      <c r="J239" s="61"/>
      <c r="K239" s="61"/>
      <c r="L239" s="6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61"/>
      <c r="J240" s="61"/>
      <c r="K240" s="61"/>
      <c r="L240" s="6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61"/>
      <c r="J241" s="61"/>
      <c r="K241" s="61"/>
      <c r="L241" s="6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61"/>
      <c r="J242" s="61"/>
      <c r="K242" s="61"/>
      <c r="L242" s="6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61"/>
      <c r="J243" s="61"/>
      <c r="K243" s="61"/>
      <c r="L243" s="6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61"/>
      <c r="J244" s="61"/>
      <c r="K244" s="61"/>
      <c r="L244" s="6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61"/>
      <c r="J245" s="61"/>
      <c r="K245" s="61"/>
      <c r="L245" s="6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61"/>
      <c r="J246" s="61"/>
      <c r="K246" s="61"/>
      <c r="L246" s="6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61"/>
      <c r="J247" s="61"/>
      <c r="K247" s="61"/>
      <c r="L247" s="6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61"/>
      <c r="J248" s="61"/>
      <c r="K248" s="61"/>
      <c r="L248" s="6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61"/>
      <c r="J249" s="61"/>
      <c r="K249" s="61"/>
      <c r="L249" s="6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61"/>
      <c r="J250" s="61"/>
      <c r="K250" s="61"/>
      <c r="L250" s="6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61"/>
      <c r="J251" s="61"/>
      <c r="K251" s="61"/>
      <c r="L251" s="6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61"/>
      <c r="J252" s="61"/>
      <c r="K252" s="61"/>
      <c r="L252" s="6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61"/>
      <c r="J253" s="61"/>
      <c r="K253" s="61"/>
      <c r="L253" s="6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61"/>
      <c r="J254" s="61"/>
      <c r="K254" s="61"/>
      <c r="L254" s="6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61"/>
      <c r="J255" s="61"/>
      <c r="K255" s="61"/>
      <c r="L255" s="6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61"/>
      <c r="J256" s="61"/>
      <c r="K256" s="61"/>
      <c r="L256" s="6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61"/>
      <c r="J257" s="61"/>
      <c r="K257" s="61"/>
      <c r="L257" s="6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61"/>
      <c r="J258" s="61"/>
      <c r="K258" s="61"/>
      <c r="L258" s="6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61"/>
      <c r="J259" s="61"/>
      <c r="K259" s="61"/>
      <c r="L259" s="6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61"/>
      <c r="J260" s="61"/>
      <c r="K260" s="61"/>
      <c r="L260" s="6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61"/>
      <c r="J261" s="61"/>
      <c r="K261" s="61"/>
      <c r="L261" s="6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61"/>
      <c r="J262" s="61"/>
      <c r="K262" s="61"/>
      <c r="L262" s="6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61"/>
      <c r="J263" s="61"/>
      <c r="K263" s="61"/>
      <c r="L263" s="6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61"/>
      <c r="J264" s="61"/>
      <c r="K264" s="61"/>
      <c r="L264" s="6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61"/>
      <c r="J265" s="61"/>
      <c r="K265" s="61"/>
      <c r="L265" s="6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61"/>
      <c r="J266" s="61"/>
      <c r="K266" s="61"/>
      <c r="L266" s="6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61"/>
      <c r="J267" s="61"/>
      <c r="K267" s="61"/>
      <c r="L267" s="6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61"/>
      <c r="J268" s="61"/>
      <c r="K268" s="61"/>
      <c r="L268" s="6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61"/>
      <c r="J269" s="61"/>
      <c r="K269" s="61"/>
      <c r="L269" s="6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61"/>
      <c r="J270" s="61"/>
      <c r="K270" s="61"/>
      <c r="L270" s="6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61"/>
      <c r="J271" s="61"/>
      <c r="K271" s="61"/>
      <c r="L271" s="6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61"/>
      <c r="J272" s="61"/>
      <c r="K272" s="61"/>
      <c r="L272" s="6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61"/>
      <c r="J273" s="61"/>
      <c r="K273" s="61"/>
      <c r="L273" s="6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61"/>
      <c r="J274" s="61"/>
      <c r="K274" s="61"/>
      <c r="L274" s="6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61"/>
      <c r="J275" s="61"/>
      <c r="K275" s="61"/>
      <c r="L275" s="6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61"/>
      <c r="J276" s="61"/>
      <c r="K276" s="61"/>
      <c r="L276" s="6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61"/>
      <c r="J277" s="61"/>
      <c r="K277" s="61"/>
      <c r="L277" s="6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61"/>
      <c r="J278" s="61"/>
      <c r="K278" s="61"/>
      <c r="L278" s="6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61"/>
      <c r="J279" s="61"/>
      <c r="K279" s="61"/>
      <c r="L279" s="6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61"/>
      <c r="J280" s="61"/>
      <c r="K280" s="61"/>
      <c r="L280" s="6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61"/>
      <c r="J281" s="61"/>
      <c r="K281" s="61"/>
      <c r="L281" s="6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61"/>
      <c r="J282" s="61"/>
      <c r="K282" s="61"/>
      <c r="L282" s="6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61"/>
      <c r="J283" s="61"/>
      <c r="K283" s="61"/>
      <c r="L283" s="6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61"/>
      <c r="J284" s="61"/>
      <c r="K284" s="61"/>
      <c r="L284" s="6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61"/>
      <c r="J285" s="61"/>
      <c r="K285" s="61"/>
      <c r="L285" s="6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61"/>
      <c r="J286" s="61"/>
      <c r="K286" s="61"/>
      <c r="L286" s="6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61"/>
      <c r="J287" s="61"/>
      <c r="K287" s="61"/>
      <c r="L287" s="6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61"/>
      <c r="J288" s="61"/>
      <c r="K288" s="61"/>
      <c r="L288" s="6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61"/>
      <c r="J289" s="61"/>
      <c r="K289" s="61"/>
      <c r="L289" s="6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61"/>
      <c r="J290" s="61"/>
      <c r="K290" s="61"/>
      <c r="L290" s="6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61"/>
      <c r="J291" s="61"/>
      <c r="K291" s="61"/>
      <c r="L291" s="6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61"/>
      <c r="J292" s="61"/>
      <c r="K292" s="61"/>
      <c r="L292" s="6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61"/>
      <c r="J293" s="61"/>
      <c r="K293" s="61"/>
      <c r="L293" s="6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61"/>
      <c r="J294" s="61"/>
      <c r="K294" s="61"/>
      <c r="L294" s="6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61"/>
      <c r="J295" s="61"/>
      <c r="K295" s="61"/>
      <c r="L295" s="6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61"/>
      <c r="J296" s="61"/>
      <c r="K296" s="61"/>
      <c r="L296" s="6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61"/>
      <c r="J297" s="61"/>
      <c r="K297" s="61"/>
      <c r="L297" s="6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61"/>
      <c r="J298" s="61"/>
      <c r="K298" s="61"/>
      <c r="L298" s="6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61"/>
      <c r="J299" s="61"/>
      <c r="K299" s="61"/>
      <c r="L299" s="6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61"/>
      <c r="J300" s="61"/>
      <c r="K300" s="61"/>
      <c r="L300" s="6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61"/>
      <c r="J301" s="61"/>
      <c r="K301" s="61"/>
      <c r="L301" s="6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61"/>
      <c r="J302" s="61"/>
      <c r="K302" s="61"/>
      <c r="L302" s="6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61"/>
      <c r="J303" s="61"/>
      <c r="K303" s="61"/>
      <c r="L303" s="6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61"/>
      <c r="J304" s="61"/>
      <c r="K304" s="61"/>
      <c r="L304" s="6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61"/>
      <c r="J305" s="61"/>
      <c r="K305" s="61"/>
      <c r="L305" s="6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61"/>
      <c r="J306" s="61"/>
      <c r="K306" s="61"/>
      <c r="L306" s="6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61"/>
      <c r="J307" s="61"/>
      <c r="K307" s="61"/>
      <c r="L307" s="6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61"/>
      <c r="J308" s="61"/>
      <c r="K308" s="61"/>
      <c r="L308" s="6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61"/>
      <c r="J309" s="61"/>
      <c r="K309" s="61"/>
      <c r="L309" s="6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61"/>
      <c r="J310" s="61"/>
      <c r="K310" s="61"/>
      <c r="L310" s="6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61"/>
      <c r="J311" s="61"/>
      <c r="K311" s="61"/>
      <c r="L311" s="6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61"/>
      <c r="J312" s="61"/>
      <c r="K312" s="61"/>
      <c r="L312" s="6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61"/>
      <c r="J313" s="61"/>
      <c r="K313" s="61"/>
      <c r="L313" s="6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61"/>
      <c r="J314" s="61"/>
      <c r="K314" s="61"/>
      <c r="L314" s="6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61"/>
      <c r="J315" s="61"/>
      <c r="K315" s="61"/>
      <c r="L315" s="6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61"/>
      <c r="J316" s="61"/>
      <c r="K316" s="61"/>
      <c r="L316" s="6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61"/>
      <c r="J317" s="61"/>
      <c r="K317" s="61"/>
      <c r="L317" s="6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61"/>
      <c r="J318" s="61"/>
      <c r="K318" s="61"/>
      <c r="L318" s="6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61"/>
      <c r="J319" s="61"/>
      <c r="K319" s="61"/>
      <c r="L319" s="6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61"/>
      <c r="J320" s="61"/>
      <c r="K320" s="61"/>
      <c r="L320" s="6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61"/>
      <c r="J321" s="61"/>
      <c r="K321" s="61"/>
      <c r="L321" s="6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61"/>
      <c r="J322" s="61"/>
      <c r="K322" s="61"/>
      <c r="L322" s="6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61"/>
      <c r="J323" s="61"/>
      <c r="K323" s="61"/>
      <c r="L323" s="6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61"/>
      <c r="J324" s="61"/>
      <c r="K324" s="61"/>
      <c r="L324" s="6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61"/>
      <c r="J325" s="61"/>
      <c r="K325" s="61"/>
      <c r="L325" s="6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61"/>
      <c r="J326" s="61"/>
      <c r="K326" s="61"/>
      <c r="L326" s="6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61"/>
      <c r="J327" s="61"/>
      <c r="K327" s="61"/>
      <c r="L327" s="6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61"/>
      <c r="J328" s="61"/>
      <c r="K328" s="61"/>
      <c r="L328" s="6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61"/>
      <c r="J329" s="61"/>
      <c r="K329" s="61"/>
      <c r="L329" s="6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61"/>
      <c r="J330" s="61"/>
      <c r="K330" s="61"/>
      <c r="L330" s="6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61"/>
      <c r="J331" s="61"/>
      <c r="K331" s="61"/>
      <c r="L331" s="6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61"/>
      <c r="J332" s="61"/>
      <c r="K332" s="61"/>
      <c r="L332" s="6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61"/>
      <c r="J333" s="61"/>
      <c r="K333" s="61"/>
      <c r="L333" s="6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61"/>
      <c r="J334" s="61"/>
      <c r="K334" s="61"/>
      <c r="L334" s="6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61"/>
      <c r="J335" s="61"/>
      <c r="K335" s="61"/>
      <c r="L335" s="6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61"/>
      <c r="J336" s="61"/>
      <c r="K336" s="61"/>
      <c r="L336" s="6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61"/>
      <c r="J337" s="61"/>
      <c r="K337" s="61"/>
      <c r="L337" s="6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61"/>
      <c r="J338" s="61"/>
      <c r="K338" s="61"/>
      <c r="L338" s="6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61"/>
      <c r="J339" s="61"/>
      <c r="K339" s="61"/>
      <c r="L339" s="6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61"/>
      <c r="J340" s="61"/>
      <c r="K340" s="61"/>
      <c r="L340" s="6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61"/>
      <c r="J341" s="61"/>
      <c r="K341" s="61"/>
      <c r="L341" s="6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61"/>
      <c r="J342" s="61"/>
      <c r="K342" s="61"/>
      <c r="L342" s="6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61"/>
      <c r="J343" s="61"/>
      <c r="K343" s="61"/>
      <c r="L343" s="6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61"/>
      <c r="J344" s="61"/>
      <c r="K344" s="61"/>
      <c r="L344" s="6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61"/>
      <c r="J345" s="61"/>
      <c r="K345" s="61"/>
      <c r="L345" s="6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61"/>
      <c r="J346" s="61"/>
      <c r="K346" s="61"/>
      <c r="L346" s="6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61"/>
      <c r="J347" s="61"/>
      <c r="K347" s="61"/>
      <c r="L347" s="6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61"/>
      <c r="J348" s="61"/>
      <c r="K348" s="61"/>
      <c r="L348" s="6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61"/>
      <c r="J349" s="61"/>
      <c r="K349" s="61"/>
      <c r="L349" s="6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61"/>
      <c r="J350" s="61"/>
      <c r="K350" s="61"/>
      <c r="L350" s="6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61"/>
      <c r="J351" s="61"/>
      <c r="K351" s="61"/>
      <c r="L351" s="6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61"/>
      <c r="J352" s="61"/>
      <c r="K352" s="61"/>
      <c r="L352" s="6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61"/>
      <c r="J353" s="61"/>
      <c r="K353" s="61"/>
      <c r="L353" s="6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61"/>
      <c r="J354" s="61"/>
      <c r="K354" s="61"/>
      <c r="L354" s="6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61"/>
      <c r="J355" s="61"/>
      <c r="K355" s="61"/>
      <c r="L355" s="6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61"/>
      <c r="J356" s="61"/>
      <c r="K356" s="61"/>
      <c r="L356" s="6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61"/>
      <c r="J357" s="61"/>
      <c r="K357" s="61"/>
      <c r="L357" s="6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61"/>
      <c r="J358" s="61"/>
      <c r="K358" s="61"/>
      <c r="L358" s="6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61"/>
      <c r="J359" s="61"/>
      <c r="K359" s="61"/>
      <c r="L359" s="6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61"/>
      <c r="J360" s="61"/>
      <c r="K360" s="61"/>
      <c r="L360" s="6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61"/>
      <c r="J361" s="61"/>
      <c r="K361" s="61"/>
      <c r="L361" s="6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61"/>
      <c r="J362" s="61"/>
      <c r="K362" s="61"/>
      <c r="L362" s="6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61"/>
      <c r="J363" s="61"/>
      <c r="K363" s="61"/>
      <c r="L363" s="6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61"/>
      <c r="J364" s="61"/>
      <c r="K364" s="61"/>
      <c r="L364" s="6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61"/>
      <c r="J365" s="61"/>
      <c r="K365" s="61"/>
      <c r="L365" s="6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61"/>
      <c r="J366" s="61"/>
      <c r="K366" s="61"/>
      <c r="L366" s="6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61"/>
      <c r="J367" s="61"/>
      <c r="K367" s="61"/>
      <c r="L367" s="6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61"/>
      <c r="J368" s="61"/>
      <c r="K368" s="61"/>
      <c r="L368" s="6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61"/>
      <c r="J369" s="61"/>
      <c r="K369" s="61"/>
      <c r="L369" s="6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61"/>
      <c r="J370" s="61"/>
      <c r="K370" s="61"/>
      <c r="L370" s="6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61"/>
      <c r="J371" s="61"/>
      <c r="K371" s="61"/>
      <c r="L371" s="6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61"/>
      <c r="J372" s="61"/>
      <c r="K372" s="61"/>
      <c r="L372" s="6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61"/>
      <c r="J373" s="61"/>
      <c r="K373" s="61"/>
      <c r="L373" s="6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61"/>
      <c r="J374" s="61"/>
      <c r="K374" s="61"/>
      <c r="L374" s="6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61"/>
      <c r="J375" s="61"/>
      <c r="K375" s="61"/>
      <c r="L375" s="6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61"/>
      <c r="J376" s="61"/>
      <c r="K376" s="61"/>
      <c r="L376" s="6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61"/>
      <c r="J377" s="61"/>
      <c r="K377" s="61"/>
      <c r="L377" s="6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61"/>
      <c r="J378" s="61"/>
      <c r="K378" s="61"/>
      <c r="L378" s="6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61"/>
      <c r="J379" s="61"/>
      <c r="K379" s="61"/>
      <c r="L379" s="6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61"/>
      <c r="J380" s="61"/>
      <c r="K380" s="61"/>
      <c r="L380" s="6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61"/>
      <c r="J381" s="61"/>
      <c r="K381" s="61"/>
      <c r="L381" s="6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61"/>
      <c r="J382" s="61"/>
      <c r="K382" s="61"/>
      <c r="L382" s="6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61"/>
      <c r="J383" s="61"/>
      <c r="K383" s="61"/>
      <c r="L383" s="6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61"/>
      <c r="J384" s="61"/>
      <c r="K384" s="61"/>
      <c r="L384" s="6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61"/>
      <c r="J385" s="61"/>
      <c r="K385" s="61"/>
      <c r="L385" s="6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61"/>
      <c r="J386" s="61"/>
      <c r="K386" s="61"/>
      <c r="L386" s="6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61"/>
      <c r="J387" s="61"/>
      <c r="K387" s="61"/>
      <c r="L387" s="6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61"/>
      <c r="J388" s="61"/>
      <c r="K388" s="61"/>
      <c r="L388" s="6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61"/>
      <c r="J389" s="61"/>
      <c r="K389" s="61"/>
      <c r="L389" s="6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61"/>
      <c r="J390" s="61"/>
      <c r="K390" s="61"/>
      <c r="L390" s="6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61"/>
      <c r="J391" s="61"/>
      <c r="K391" s="61"/>
      <c r="L391" s="6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61"/>
      <c r="J392" s="61"/>
      <c r="K392" s="61"/>
      <c r="L392" s="6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61"/>
      <c r="J393" s="61"/>
      <c r="K393" s="61"/>
      <c r="L393" s="6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61"/>
      <c r="J394" s="61"/>
      <c r="K394" s="61"/>
      <c r="L394" s="6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61"/>
      <c r="J395" s="61"/>
      <c r="K395" s="61"/>
      <c r="L395" s="6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61"/>
      <c r="J396" s="61"/>
      <c r="K396" s="61"/>
      <c r="L396" s="6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61"/>
      <c r="J397" s="61"/>
      <c r="K397" s="61"/>
      <c r="L397" s="6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61"/>
      <c r="J398" s="61"/>
      <c r="K398" s="61"/>
      <c r="L398" s="6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61"/>
      <c r="J399" s="61"/>
      <c r="K399" s="61"/>
      <c r="L399" s="6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61"/>
      <c r="J400" s="61"/>
      <c r="K400" s="61"/>
      <c r="L400" s="6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61"/>
      <c r="J401" s="61"/>
      <c r="K401" s="61"/>
      <c r="L401" s="6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61"/>
      <c r="J402" s="61"/>
      <c r="K402" s="61"/>
      <c r="L402" s="6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61"/>
      <c r="J403" s="61"/>
      <c r="K403" s="61"/>
      <c r="L403" s="6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61"/>
      <c r="J404" s="61"/>
      <c r="K404" s="61"/>
      <c r="L404" s="6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61"/>
      <c r="J405" s="61"/>
      <c r="K405" s="61"/>
      <c r="L405" s="6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61"/>
      <c r="J406" s="61"/>
      <c r="K406" s="61"/>
      <c r="L406" s="6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61"/>
      <c r="J407" s="61"/>
      <c r="K407" s="61"/>
      <c r="L407" s="6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61"/>
      <c r="J408" s="61"/>
      <c r="K408" s="61"/>
      <c r="L408" s="6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61"/>
      <c r="J409" s="61"/>
      <c r="K409" s="61"/>
      <c r="L409" s="6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61"/>
      <c r="J410" s="61"/>
      <c r="K410" s="61"/>
      <c r="L410" s="6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61"/>
      <c r="J411" s="61"/>
      <c r="K411" s="61"/>
      <c r="L411" s="6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61"/>
      <c r="J412" s="61"/>
      <c r="K412" s="61"/>
      <c r="L412" s="6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61"/>
      <c r="J413" s="61"/>
      <c r="K413" s="61"/>
      <c r="L413" s="6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61"/>
      <c r="J414" s="61"/>
      <c r="K414" s="61"/>
      <c r="L414" s="6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61"/>
      <c r="J415" s="61"/>
      <c r="K415" s="61"/>
      <c r="L415" s="6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61"/>
      <c r="J416" s="61"/>
      <c r="K416" s="61"/>
      <c r="L416" s="6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61"/>
      <c r="J417" s="61"/>
      <c r="K417" s="61"/>
      <c r="L417" s="6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61"/>
      <c r="J418" s="61"/>
      <c r="K418" s="61"/>
      <c r="L418" s="6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61"/>
      <c r="J419" s="61"/>
      <c r="K419" s="61"/>
      <c r="L419" s="6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61"/>
      <c r="J420" s="61"/>
      <c r="K420" s="61"/>
      <c r="L420" s="6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61"/>
      <c r="J421" s="61"/>
      <c r="K421" s="61"/>
      <c r="L421" s="6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61"/>
      <c r="J422" s="61"/>
      <c r="K422" s="61"/>
      <c r="L422" s="6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61"/>
      <c r="J423" s="61"/>
      <c r="K423" s="61"/>
      <c r="L423" s="6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61"/>
      <c r="J424" s="61"/>
      <c r="K424" s="61"/>
      <c r="L424" s="6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61"/>
      <c r="J425" s="61"/>
      <c r="K425" s="61"/>
      <c r="L425" s="6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61"/>
      <c r="J426" s="61"/>
      <c r="K426" s="61"/>
      <c r="L426" s="6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61"/>
      <c r="J427" s="61"/>
      <c r="K427" s="61"/>
      <c r="L427" s="6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61"/>
      <c r="J428" s="61"/>
      <c r="K428" s="61"/>
      <c r="L428" s="6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61"/>
      <c r="J429" s="61"/>
      <c r="K429" s="61"/>
      <c r="L429" s="6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61"/>
      <c r="J430" s="61"/>
      <c r="K430" s="61"/>
      <c r="L430" s="6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61"/>
      <c r="J431" s="61"/>
      <c r="K431" s="61"/>
      <c r="L431" s="6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61"/>
      <c r="J432" s="61"/>
      <c r="K432" s="61"/>
      <c r="L432" s="6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61"/>
      <c r="J433" s="61"/>
      <c r="K433" s="61"/>
      <c r="L433" s="6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61"/>
      <c r="J434" s="61"/>
      <c r="K434" s="61"/>
      <c r="L434" s="6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61"/>
      <c r="J435" s="61"/>
      <c r="K435" s="61"/>
      <c r="L435" s="6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61"/>
      <c r="J436" s="61"/>
      <c r="K436" s="61"/>
      <c r="L436" s="6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61"/>
      <c r="J437" s="61"/>
      <c r="K437" s="61"/>
      <c r="L437" s="6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61"/>
      <c r="J438" s="61"/>
      <c r="K438" s="61"/>
      <c r="L438" s="6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61"/>
      <c r="J439" s="61"/>
      <c r="K439" s="61"/>
      <c r="L439" s="6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61"/>
      <c r="J440" s="61"/>
      <c r="K440" s="61"/>
      <c r="L440" s="6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61"/>
      <c r="J441" s="61"/>
      <c r="K441" s="61"/>
      <c r="L441" s="6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61"/>
      <c r="J442" s="61"/>
      <c r="K442" s="61"/>
      <c r="L442" s="6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61"/>
      <c r="J443" s="61"/>
      <c r="K443" s="61"/>
      <c r="L443" s="6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61"/>
      <c r="J444" s="61"/>
      <c r="K444" s="61"/>
      <c r="L444" s="6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61"/>
      <c r="J445" s="61"/>
      <c r="K445" s="61"/>
      <c r="L445" s="6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61"/>
      <c r="J446" s="61"/>
      <c r="K446" s="61"/>
      <c r="L446" s="6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61"/>
      <c r="J447" s="61"/>
      <c r="K447" s="61"/>
      <c r="L447" s="6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61"/>
      <c r="J448" s="61"/>
      <c r="K448" s="61"/>
      <c r="L448" s="6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61"/>
      <c r="J449" s="61"/>
      <c r="K449" s="61"/>
      <c r="L449" s="6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61"/>
      <c r="J450" s="61"/>
      <c r="K450" s="61"/>
      <c r="L450" s="6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61"/>
      <c r="J451" s="61"/>
      <c r="K451" s="61"/>
      <c r="L451" s="6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61"/>
      <c r="J452" s="61"/>
      <c r="K452" s="61"/>
      <c r="L452" s="6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61"/>
      <c r="J453" s="61"/>
      <c r="K453" s="61"/>
      <c r="L453" s="6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61"/>
      <c r="J454" s="61"/>
      <c r="K454" s="61"/>
      <c r="L454" s="6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61"/>
      <c r="J455" s="61"/>
      <c r="K455" s="61"/>
      <c r="L455" s="6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61"/>
      <c r="J456" s="61"/>
      <c r="K456" s="61"/>
      <c r="L456" s="6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61"/>
      <c r="J457" s="61"/>
      <c r="K457" s="61"/>
      <c r="L457" s="6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61"/>
      <c r="J458" s="61"/>
      <c r="K458" s="61"/>
      <c r="L458" s="6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61"/>
      <c r="J459" s="61"/>
      <c r="K459" s="61"/>
      <c r="L459" s="6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61"/>
      <c r="J460" s="61"/>
      <c r="K460" s="61"/>
      <c r="L460" s="6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61"/>
      <c r="J461" s="61"/>
      <c r="K461" s="61"/>
      <c r="L461" s="6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61"/>
      <c r="J462" s="61"/>
      <c r="K462" s="61"/>
      <c r="L462" s="6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61"/>
      <c r="J463" s="61"/>
      <c r="K463" s="61"/>
      <c r="L463" s="6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61"/>
      <c r="J464" s="61"/>
      <c r="K464" s="61"/>
      <c r="L464" s="6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61"/>
      <c r="J465" s="61"/>
      <c r="K465" s="61"/>
      <c r="L465" s="6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61"/>
      <c r="J466" s="61"/>
      <c r="K466" s="61"/>
      <c r="L466" s="6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61"/>
      <c r="J467" s="61"/>
      <c r="K467" s="61"/>
      <c r="L467" s="6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61"/>
      <c r="J468" s="61"/>
      <c r="K468" s="61"/>
      <c r="L468" s="6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61"/>
      <c r="J469" s="61"/>
      <c r="K469" s="61"/>
      <c r="L469" s="6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61"/>
      <c r="J470" s="61"/>
      <c r="K470" s="61"/>
      <c r="L470" s="6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61"/>
      <c r="J471" s="61"/>
      <c r="K471" s="61"/>
      <c r="L471" s="6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61"/>
      <c r="J472" s="61"/>
      <c r="K472" s="61"/>
      <c r="L472" s="6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61"/>
      <c r="J473" s="61"/>
      <c r="K473" s="61"/>
      <c r="L473" s="6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61"/>
      <c r="J474" s="61"/>
      <c r="K474" s="61"/>
      <c r="L474" s="6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61"/>
      <c r="J475" s="61"/>
      <c r="K475" s="61"/>
      <c r="L475" s="6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61"/>
      <c r="J476" s="61"/>
      <c r="K476" s="61"/>
      <c r="L476" s="6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61"/>
      <c r="J477" s="61"/>
      <c r="K477" s="61"/>
      <c r="L477" s="6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61"/>
      <c r="J478" s="61"/>
      <c r="K478" s="61"/>
      <c r="L478" s="6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61"/>
      <c r="J479" s="61"/>
      <c r="K479" s="61"/>
      <c r="L479" s="6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61"/>
      <c r="J480" s="61"/>
      <c r="K480" s="61"/>
      <c r="L480" s="6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61"/>
      <c r="J481" s="61"/>
      <c r="K481" s="61"/>
      <c r="L481" s="6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61"/>
      <c r="J482" s="61"/>
      <c r="K482" s="61"/>
      <c r="L482" s="6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61"/>
      <c r="J483" s="61"/>
      <c r="K483" s="61"/>
      <c r="L483" s="6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61"/>
      <c r="J484" s="61"/>
      <c r="K484" s="61"/>
      <c r="L484" s="6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61"/>
      <c r="J485" s="61"/>
      <c r="K485" s="61"/>
      <c r="L485" s="6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61"/>
      <c r="J486" s="61"/>
      <c r="K486" s="61"/>
      <c r="L486" s="6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61"/>
      <c r="J487" s="61"/>
      <c r="K487" s="61"/>
      <c r="L487" s="6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61"/>
      <c r="J488" s="61"/>
      <c r="K488" s="61"/>
      <c r="L488" s="6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61"/>
      <c r="J489" s="61"/>
      <c r="K489" s="61"/>
      <c r="L489" s="6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61"/>
      <c r="J490" s="61"/>
      <c r="K490" s="61"/>
      <c r="L490" s="6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61"/>
      <c r="J491" s="61"/>
      <c r="K491" s="61"/>
      <c r="L491" s="6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61"/>
      <c r="J492" s="61"/>
      <c r="K492" s="61"/>
      <c r="L492" s="6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61"/>
      <c r="J493" s="61"/>
      <c r="K493" s="61"/>
      <c r="L493" s="6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61"/>
      <c r="J494" s="61"/>
      <c r="K494" s="61"/>
      <c r="L494" s="6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61"/>
      <c r="J495" s="61"/>
      <c r="K495" s="61"/>
      <c r="L495" s="6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61"/>
      <c r="J496" s="61"/>
      <c r="K496" s="61"/>
      <c r="L496" s="6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61"/>
      <c r="J497" s="61"/>
      <c r="K497" s="61"/>
      <c r="L497" s="6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61"/>
      <c r="J498" s="61"/>
      <c r="K498" s="61"/>
      <c r="L498" s="6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61"/>
      <c r="J499" s="61"/>
      <c r="K499" s="61"/>
      <c r="L499" s="6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61"/>
      <c r="J500" s="61"/>
      <c r="K500" s="61"/>
      <c r="L500" s="6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61"/>
      <c r="J501" s="61"/>
      <c r="K501" s="61"/>
      <c r="L501" s="6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61"/>
      <c r="J502" s="61"/>
      <c r="K502" s="61"/>
      <c r="L502" s="6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61"/>
      <c r="J503" s="61"/>
      <c r="K503" s="61"/>
      <c r="L503" s="6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61"/>
      <c r="J504" s="61"/>
      <c r="K504" s="61"/>
      <c r="L504" s="6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61"/>
      <c r="J505" s="61"/>
      <c r="K505" s="61"/>
      <c r="L505" s="6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61"/>
      <c r="J506" s="61"/>
      <c r="K506" s="61"/>
      <c r="L506" s="6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61"/>
      <c r="J507" s="61"/>
      <c r="K507" s="61"/>
      <c r="L507" s="6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61"/>
      <c r="J508" s="61"/>
      <c r="K508" s="61"/>
      <c r="L508" s="6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61"/>
      <c r="J509" s="61"/>
      <c r="K509" s="61"/>
      <c r="L509" s="6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61"/>
      <c r="J510" s="61"/>
      <c r="K510" s="61"/>
      <c r="L510" s="6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61"/>
      <c r="J511" s="61"/>
      <c r="K511" s="61"/>
      <c r="L511" s="6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61"/>
      <c r="J512" s="61"/>
      <c r="K512" s="61"/>
      <c r="L512" s="6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61"/>
      <c r="J513" s="61"/>
      <c r="K513" s="61"/>
      <c r="L513" s="6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61"/>
      <c r="J514" s="61"/>
      <c r="K514" s="61"/>
      <c r="L514" s="6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61"/>
      <c r="J515" s="61"/>
      <c r="K515" s="61"/>
      <c r="L515" s="6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61"/>
      <c r="J516" s="61"/>
      <c r="K516" s="61"/>
      <c r="L516" s="6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61"/>
      <c r="J517" s="61"/>
      <c r="K517" s="61"/>
      <c r="L517" s="6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61"/>
      <c r="J518" s="61"/>
      <c r="K518" s="61"/>
      <c r="L518" s="6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61"/>
      <c r="J519" s="61"/>
      <c r="K519" s="61"/>
      <c r="L519" s="6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61"/>
      <c r="J520" s="61"/>
      <c r="K520" s="61"/>
      <c r="L520" s="6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61"/>
      <c r="J521" s="61"/>
      <c r="K521" s="61"/>
      <c r="L521" s="6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61"/>
      <c r="J522" s="61"/>
      <c r="K522" s="61"/>
      <c r="L522" s="6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61"/>
      <c r="J523" s="61"/>
      <c r="K523" s="61"/>
      <c r="L523" s="6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61"/>
      <c r="J524" s="61"/>
      <c r="K524" s="61"/>
      <c r="L524" s="6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61"/>
      <c r="J525" s="61"/>
      <c r="K525" s="61"/>
      <c r="L525" s="6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61"/>
      <c r="J526" s="61"/>
      <c r="K526" s="61"/>
      <c r="L526" s="6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61"/>
      <c r="J527" s="61"/>
      <c r="K527" s="61"/>
      <c r="L527" s="6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61"/>
      <c r="J528" s="61"/>
      <c r="K528" s="61"/>
      <c r="L528" s="6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61"/>
      <c r="J529" s="61"/>
      <c r="K529" s="61"/>
      <c r="L529" s="6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61"/>
      <c r="J530" s="61"/>
      <c r="K530" s="61"/>
      <c r="L530" s="6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61"/>
      <c r="J531" s="61"/>
      <c r="K531" s="61"/>
      <c r="L531" s="6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61"/>
      <c r="J532" s="61"/>
      <c r="K532" s="61"/>
      <c r="L532" s="6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61"/>
      <c r="J533" s="61"/>
      <c r="K533" s="61"/>
      <c r="L533" s="6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61"/>
      <c r="J534" s="61"/>
      <c r="K534" s="61"/>
      <c r="L534" s="6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61"/>
      <c r="J535" s="61"/>
      <c r="K535" s="61"/>
      <c r="L535" s="6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61"/>
      <c r="J536" s="61"/>
      <c r="K536" s="61"/>
      <c r="L536" s="6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61"/>
      <c r="J537" s="61"/>
      <c r="K537" s="61"/>
      <c r="L537" s="6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61"/>
      <c r="J538" s="61"/>
      <c r="K538" s="61"/>
      <c r="L538" s="6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61"/>
      <c r="J539" s="61"/>
      <c r="K539" s="61"/>
      <c r="L539" s="6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61"/>
      <c r="J540" s="61"/>
      <c r="K540" s="61"/>
      <c r="L540" s="6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61"/>
      <c r="J541" s="61"/>
      <c r="K541" s="61"/>
      <c r="L541" s="6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61"/>
      <c r="J542" s="61"/>
      <c r="K542" s="61"/>
      <c r="L542" s="6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61"/>
      <c r="J543" s="61"/>
      <c r="K543" s="61"/>
      <c r="L543" s="6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61"/>
      <c r="J544" s="61"/>
      <c r="K544" s="61"/>
      <c r="L544" s="6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61"/>
      <c r="J545" s="61"/>
      <c r="K545" s="61"/>
      <c r="L545" s="6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61"/>
      <c r="J546" s="61"/>
      <c r="K546" s="61"/>
      <c r="L546" s="6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61"/>
      <c r="J547" s="61"/>
      <c r="K547" s="61"/>
      <c r="L547" s="6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61"/>
      <c r="J548" s="61"/>
      <c r="K548" s="61"/>
      <c r="L548" s="6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61"/>
      <c r="J549" s="61"/>
      <c r="K549" s="61"/>
      <c r="L549" s="6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61"/>
      <c r="J550" s="61"/>
      <c r="K550" s="61"/>
      <c r="L550" s="6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61"/>
      <c r="J551" s="61"/>
      <c r="K551" s="61"/>
      <c r="L551" s="6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61"/>
      <c r="J552" s="61"/>
      <c r="K552" s="61"/>
      <c r="L552" s="6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61"/>
      <c r="J553" s="61"/>
      <c r="K553" s="61"/>
      <c r="L553" s="6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61"/>
      <c r="J554" s="61"/>
      <c r="K554" s="61"/>
      <c r="L554" s="6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61"/>
      <c r="J555" s="61"/>
      <c r="K555" s="61"/>
      <c r="L555" s="6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61"/>
      <c r="J556" s="61"/>
      <c r="K556" s="61"/>
      <c r="L556" s="6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61"/>
      <c r="J557" s="61"/>
      <c r="K557" s="61"/>
      <c r="L557" s="6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61"/>
      <c r="J558" s="61"/>
      <c r="K558" s="61"/>
      <c r="L558" s="6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61"/>
      <c r="J559" s="61"/>
      <c r="K559" s="61"/>
      <c r="L559" s="6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61"/>
      <c r="J560" s="61"/>
      <c r="K560" s="61"/>
      <c r="L560" s="6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61"/>
      <c r="J561" s="61"/>
      <c r="K561" s="61"/>
      <c r="L561" s="6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61"/>
      <c r="J562" s="61"/>
      <c r="K562" s="61"/>
      <c r="L562" s="6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61"/>
      <c r="J563" s="61"/>
      <c r="K563" s="61"/>
      <c r="L563" s="6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61"/>
      <c r="J564" s="61"/>
      <c r="K564" s="61"/>
      <c r="L564" s="6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61"/>
      <c r="J565" s="61"/>
      <c r="K565" s="61"/>
      <c r="L565" s="6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61"/>
      <c r="J566" s="61"/>
      <c r="K566" s="61"/>
      <c r="L566" s="6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61"/>
      <c r="J567" s="61"/>
      <c r="K567" s="61"/>
      <c r="L567" s="6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61"/>
      <c r="J568" s="61"/>
      <c r="K568" s="61"/>
      <c r="L568" s="6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61"/>
      <c r="J569" s="61"/>
      <c r="K569" s="61"/>
      <c r="L569" s="6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61"/>
      <c r="J570" s="61"/>
      <c r="K570" s="61"/>
      <c r="L570" s="6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61"/>
      <c r="J571" s="61"/>
      <c r="K571" s="61"/>
      <c r="L571" s="6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61"/>
      <c r="J572" s="61"/>
      <c r="K572" s="61"/>
      <c r="L572" s="6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61"/>
      <c r="J573" s="61"/>
      <c r="K573" s="61"/>
      <c r="L573" s="6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61"/>
      <c r="J574" s="61"/>
      <c r="K574" s="61"/>
      <c r="L574" s="6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61"/>
      <c r="J575" s="61"/>
      <c r="K575" s="61"/>
      <c r="L575" s="6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61"/>
      <c r="J576" s="61"/>
      <c r="K576" s="61"/>
      <c r="L576" s="6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61"/>
      <c r="J577" s="61"/>
      <c r="K577" s="61"/>
      <c r="L577" s="6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61"/>
      <c r="J578" s="61"/>
      <c r="K578" s="61"/>
      <c r="L578" s="6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61"/>
      <c r="J579" s="61"/>
      <c r="K579" s="61"/>
      <c r="L579" s="6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61"/>
      <c r="J580" s="61"/>
      <c r="K580" s="61"/>
      <c r="L580" s="6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61"/>
      <c r="J581" s="61"/>
      <c r="K581" s="61"/>
      <c r="L581" s="6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61"/>
      <c r="J582" s="61"/>
      <c r="K582" s="61"/>
      <c r="L582" s="6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61"/>
      <c r="J583" s="61"/>
      <c r="K583" s="61"/>
      <c r="L583" s="6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61"/>
      <c r="J584" s="61"/>
      <c r="K584" s="61"/>
      <c r="L584" s="6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61"/>
      <c r="J585" s="61"/>
      <c r="K585" s="61"/>
      <c r="L585" s="6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61"/>
      <c r="J586" s="61"/>
      <c r="K586" s="61"/>
      <c r="L586" s="6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61"/>
      <c r="J587" s="61"/>
      <c r="K587" s="61"/>
      <c r="L587" s="6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61"/>
      <c r="J588" s="61"/>
      <c r="K588" s="61"/>
      <c r="L588" s="6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61"/>
      <c r="J589" s="61"/>
      <c r="K589" s="61"/>
      <c r="L589" s="6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61"/>
      <c r="J590" s="61"/>
      <c r="K590" s="61"/>
      <c r="L590" s="6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61"/>
      <c r="J591" s="61"/>
      <c r="K591" s="61"/>
      <c r="L591" s="6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61"/>
      <c r="J592" s="61"/>
      <c r="K592" s="61"/>
      <c r="L592" s="6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61"/>
      <c r="J593" s="61"/>
      <c r="K593" s="61"/>
      <c r="L593" s="6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61"/>
      <c r="J594" s="61"/>
      <c r="K594" s="61"/>
      <c r="L594" s="6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61"/>
      <c r="J595" s="61"/>
      <c r="K595" s="61"/>
      <c r="L595" s="6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61"/>
      <c r="J596" s="61"/>
      <c r="K596" s="61"/>
      <c r="L596" s="6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61"/>
      <c r="J597" s="61"/>
      <c r="K597" s="61"/>
      <c r="L597" s="6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61"/>
      <c r="J598" s="61"/>
      <c r="K598" s="61"/>
      <c r="L598" s="6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61"/>
      <c r="J599" s="61"/>
      <c r="K599" s="61"/>
      <c r="L599" s="6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61"/>
      <c r="J600" s="61"/>
      <c r="K600" s="61"/>
      <c r="L600" s="6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61"/>
      <c r="J601" s="61"/>
      <c r="K601" s="61"/>
      <c r="L601" s="6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61"/>
      <c r="J602" s="61"/>
      <c r="K602" s="61"/>
      <c r="L602" s="6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61"/>
      <c r="J603" s="61"/>
      <c r="K603" s="61"/>
      <c r="L603" s="6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61"/>
      <c r="J604" s="61"/>
      <c r="K604" s="61"/>
      <c r="L604" s="6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61"/>
      <c r="J605" s="61"/>
      <c r="K605" s="61"/>
      <c r="L605" s="6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61"/>
      <c r="J606" s="61"/>
      <c r="K606" s="61"/>
      <c r="L606" s="6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61"/>
      <c r="J607" s="61"/>
      <c r="K607" s="61"/>
      <c r="L607" s="6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61"/>
      <c r="J608" s="61"/>
      <c r="K608" s="61"/>
      <c r="L608" s="6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61"/>
      <c r="J609" s="61"/>
      <c r="K609" s="61"/>
      <c r="L609" s="6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61"/>
      <c r="J610" s="61"/>
      <c r="K610" s="61"/>
      <c r="L610" s="6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61"/>
      <c r="J611" s="61"/>
      <c r="K611" s="61"/>
      <c r="L611" s="6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61"/>
      <c r="J612" s="61"/>
      <c r="K612" s="61"/>
      <c r="L612" s="6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61"/>
      <c r="J613" s="61"/>
      <c r="K613" s="61"/>
      <c r="L613" s="6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61"/>
      <c r="J614" s="61"/>
      <c r="K614" s="61"/>
      <c r="L614" s="6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61"/>
      <c r="J615" s="61"/>
      <c r="K615" s="61"/>
      <c r="L615" s="6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61"/>
      <c r="J616" s="61"/>
      <c r="K616" s="61"/>
      <c r="L616" s="6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61"/>
      <c r="J617" s="61"/>
      <c r="K617" s="61"/>
      <c r="L617" s="6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61"/>
      <c r="J618" s="61"/>
      <c r="K618" s="61"/>
      <c r="L618" s="6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61"/>
      <c r="J619" s="61"/>
      <c r="K619" s="61"/>
      <c r="L619" s="6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61"/>
      <c r="J620" s="61"/>
      <c r="K620" s="61"/>
      <c r="L620" s="6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61"/>
      <c r="J621" s="61"/>
      <c r="K621" s="61"/>
      <c r="L621" s="6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61"/>
      <c r="J622" s="61"/>
      <c r="K622" s="61"/>
      <c r="L622" s="6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61"/>
      <c r="J623" s="61"/>
      <c r="K623" s="61"/>
      <c r="L623" s="6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61"/>
      <c r="J624" s="61"/>
      <c r="K624" s="61"/>
      <c r="L624" s="6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61"/>
      <c r="J625" s="61"/>
      <c r="K625" s="61"/>
      <c r="L625" s="6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61"/>
      <c r="J626" s="61"/>
      <c r="K626" s="61"/>
      <c r="L626" s="6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61"/>
      <c r="J627" s="61"/>
      <c r="K627" s="61"/>
      <c r="L627" s="6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61"/>
      <c r="J628" s="61"/>
      <c r="K628" s="61"/>
      <c r="L628" s="6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61"/>
      <c r="J629" s="61"/>
      <c r="K629" s="61"/>
      <c r="L629" s="6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61"/>
      <c r="J630" s="61"/>
      <c r="K630" s="61"/>
      <c r="L630" s="6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61"/>
      <c r="J631" s="61"/>
      <c r="K631" s="61"/>
      <c r="L631" s="6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61"/>
      <c r="J632" s="61"/>
      <c r="K632" s="61"/>
      <c r="L632" s="6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61"/>
      <c r="J633" s="61"/>
      <c r="K633" s="61"/>
      <c r="L633" s="6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61"/>
      <c r="J634" s="61"/>
      <c r="K634" s="61"/>
      <c r="L634" s="6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61"/>
      <c r="J635" s="61"/>
      <c r="K635" s="61"/>
      <c r="L635" s="6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61"/>
      <c r="J636" s="61"/>
      <c r="K636" s="61"/>
      <c r="L636" s="6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61"/>
      <c r="J637" s="61"/>
      <c r="K637" s="61"/>
      <c r="L637" s="6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61"/>
      <c r="J638" s="61"/>
      <c r="K638" s="61"/>
      <c r="L638" s="6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61"/>
      <c r="J639" s="61"/>
      <c r="K639" s="61"/>
      <c r="L639" s="6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61"/>
      <c r="J640" s="61"/>
      <c r="K640" s="61"/>
      <c r="L640" s="6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61"/>
      <c r="J641" s="61"/>
      <c r="K641" s="61"/>
      <c r="L641" s="6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61"/>
      <c r="J642" s="61"/>
      <c r="K642" s="61"/>
      <c r="L642" s="6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61"/>
      <c r="J643" s="61"/>
      <c r="K643" s="61"/>
      <c r="L643" s="6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61"/>
      <c r="J644" s="61"/>
      <c r="K644" s="61"/>
      <c r="L644" s="6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61"/>
      <c r="J645" s="61"/>
      <c r="K645" s="61"/>
      <c r="L645" s="6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61"/>
      <c r="J646" s="61"/>
      <c r="K646" s="61"/>
      <c r="L646" s="6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61"/>
      <c r="J647" s="61"/>
      <c r="K647" s="61"/>
      <c r="L647" s="6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61"/>
      <c r="J648" s="61"/>
      <c r="K648" s="61"/>
      <c r="L648" s="6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61"/>
      <c r="J649" s="61"/>
      <c r="K649" s="61"/>
      <c r="L649" s="6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61"/>
      <c r="J650" s="61"/>
      <c r="K650" s="61"/>
      <c r="L650" s="6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61"/>
      <c r="J651" s="61"/>
      <c r="K651" s="61"/>
      <c r="L651" s="6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61"/>
      <c r="J652" s="61"/>
      <c r="K652" s="61"/>
      <c r="L652" s="6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61"/>
      <c r="J653" s="61"/>
      <c r="K653" s="61"/>
      <c r="L653" s="6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61"/>
      <c r="J654" s="61"/>
      <c r="K654" s="61"/>
      <c r="L654" s="6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61"/>
      <c r="J655" s="61"/>
      <c r="K655" s="61"/>
      <c r="L655" s="6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61"/>
      <c r="J656" s="61"/>
      <c r="K656" s="61"/>
      <c r="L656" s="6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61"/>
      <c r="J657" s="61"/>
      <c r="K657" s="61"/>
      <c r="L657" s="6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61"/>
      <c r="J658" s="61"/>
      <c r="K658" s="61"/>
      <c r="L658" s="6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61"/>
      <c r="J659" s="61"/>
      <c r="K659" s="61"/>
      <c r="L659" s="6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61"/>
      <c r="J660" s="61"/>
      <c r="K660" s="61"/>
      <c r="L660" s="6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61"/>
      <c r="J661" s="61"/>
      <c r="K661" s="61"/>
      <c r="L661" s="6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61"/>
      <c r="J662" s="61"/>
      <c r="K662" s="61"/>
      <c r="L662" s="6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61"/>
      <c r="J663" s="61"/>
      <c r="K663" s="61"/>
      <c r="L663" s="6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61"/>
      <c r="J664" s="61"/>
      <c r="K664" s="61"/>
      <c r="L664" s="6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61"/>
      <c r="J665" s="61"/>
      <c r="K665" s="61"/>
      <c r="L665" s="6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61"/>
      <c r="J666" s="61"/>
      <c r="K666" s="61"/>
      <c r="L666" s="6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61"/>
      <c r="J667" s="61"/>
      <c r="K667" s="61"/>
      <c r="L667" s="6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61"/>
      <c r="J668" s="61"/>
      <c r="K668" s="61"/>
      <c r="L668" s="6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61"/>
      <c r="J669" s="61"/>
      <c r="K669" s="61"/>
      <c r="L669" s="6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61"/>
      <c r="J670" s="61"/>
      <c r="K670" s="61"/>
      <c r="L670" s="6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61"/>
      <c r="J671" s="61"/>
      <c r="K671" s="61"/>
      <c r="L671" s="6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61"/>
      <c r="J672" s="61"/>
      <c r="K672" s="61"/>
      <c r="L672" s="6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61"/>
      <c r="J673" s="61"/>
      <c r="K673" s="61"/>
      <c r="L673" s="6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61"/>
      <c r="J674" s="61"/>
      <c r="K674" s="61"/>
      <c r="L674" s="6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61"/>
      <c r="J675" s="61"/>
      <c r="K675" s="61"/>
      <c r="L675" s="6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61"/>
      <c r="J676" s="61"/>
      <c r="K676" s="61"/>
      <c r="L676" s="6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61"/>
      <c r="J677" s="61"/>
      <c r="K677" s="61"/>
      <c r="L677" s="6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61"/>
      <c r="J678" s="61"/>
      <c r="K678" s="61"/>
      <c r="L678" s="6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61"/>
      <c r="J679" s="61"/>
      <c r="K679" s="61"/>
      <c r="L679" s="6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61"/>
      <c r="J680" s="61"/>
      <c r="K680" s="61"/>
      <c r="L680" s="6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61"/>
      <c r="J681" s="61"/>
      <c r="K681" s="61"/>
      <c r="L681" s="6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61"/>
      <c r="J682" s="61"/>
      <c r="K682" s="61"/>
      <c r="L682" s="6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61"/>
      <c r="J683" s="61"/>
      <c r="K683" s="61"/>
      <c r="L683" s="6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61"/>
      <c r="J684" s="61"/>
      <c r="K684" s="61"/>
      <c r="L684" s="6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61"/>
      <c r="J685" s="61"/>
      <c r="K685" s="61"/>
      <c r="L685" s="6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61"/>
      <c r="J686" s="61"/>
      <c r="K686" s="61"/>
      <c r="L686" s="6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61"/>
      <c r="J687" s="61"/>
      <c r="K687" s="61"/>
      <c r="L687" s="6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61"/>
      <c r="J688" s="61"/>
      <c r="K688" s="61"/>
      <c r="L688" s="6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61"/>
      <c r="J689" s="61"/>
      <c r="K689" s="61"/>
      <c r="L689" s="6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61"/>
      <c r="J690" s="61"/>
      <c r="K690" s="61"/>
      <c r="L690" s="6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61"/>
      <c r="J691" s="61"/>
      <c r="K691" s="61"/>
      <c r="L691" s="6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61"/>
      <c r="J692" s="61"/>
      <c r="K692" s="61"/>
      <c r="L692" s="6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61"/>
      <c r="J693" s="61"/>
      <c r="K693" s="61"/>
      <c r="L693" s="6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61"/>
      <c r="J694" s="61"/>
      <c r="K694" s="61"/>
      <c r="L694" s="6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61"/>
      <c r="J695" s="61"/>
      <c r="K695" s="61"/>
      <c r="L695" s="6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61"/>
      <c r="J696" s="61"/>
      <c r="K696" s="61"/>
      <c r="L696" s="6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61"/>
      <c r="J697" s="61"/>
      <c r="K697" s="61"/>
      <c r="L697" s="6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61"/>
      <c r="J698" s="61"/>
      <c r="K698" s="61"/>
      <c r="L698" s="6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61"/>
      <c r="J699" s="61"/>
      <c r="K699" s="61"/>
      <c r="L699" s="6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61"/>
      <c r="J700" s="61"/>
      <c r="K700" s="61"/>
      <c r="L700" s="6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61"/>
      <c r="J701" s="61"/>
      <c r="K701" s="61"/>
      <c r="L701" s="6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61"/>
      <c r="J702" s="61"/>
      <c r="K702" s="61"/>
      <c r="L702" s="6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61"/>
      <c r="J703" s="61"/>
      <c r="K703" s="61"/>
      <c r="L703" s="6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61"/>
      <c r="J704" s="61"/>
      <c r="K704" s="61"/>
      <c r="L704" s="6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61"/>
      <c r="J705" s="61"/>
      <c r="K705" s="61"/>
      <c r="L705" s="6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61"/>
      <c r="J706" s="61"/>
      <c r="K706" s="61"/>
      <c r="L706" s="6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61"/>
      <c r="J707" s="61"/>
      <c r="K707" s="61"/>
      <c r="L707" s="6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61"/>
      <c r="J708" s="61"/>
      <c r="K708" s="61"/>
      <c r="L708" s="6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61"/>
      <c r="J709" s="61"/>
      <c r="K709" s="61"/>
      <c r="L709" s="6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61"/>
      <c r="J710" s="61"/>
      <c r="K710" s="61"/>
      <c r="L710" s="6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61"/>
      <c r="J711" s="61"/>
      <c r="K711" s="61"/>
      <c r="L711" s="6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61"/>
      <c r="J712" s="61"/>
      <c r="K712" s="61"/>
      <c r="L712" s="6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61"/>
      <c r="J713" s="61"/>
      <c r="K713" s="61"/>
      <c r="L713" s="6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61"/>
      <c r="J714" s="61"/>
      <c r="K714" s="61"/>
      <c r="L714" s="6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61"/>
      <c r="J715" s="61"/>
      <c r="K715" s="61"/>
      <c r="L715" s="6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61"/>
      <c r="J716" s="61"/>
      <c r="K716" s="61"/>
      <c r="L716" s="6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61"/>
      <c r="J717" s="61"/>
      <c r="K717" s="61"/>
      <c r="L717" s="6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61"/>
      <c r="J718" s="61"/>
      <c r="K718" s="61"/>
      <c r="L718" s="6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61"/>
      <c r="J719" s="61"/>
      <c r="K719" s="61"/>
      <c r="L719" s="6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61"/>
      <c r="J720" s="61"/>
      <c r="K720" s="61"/>
      <c r="L720" s="6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61"/>
      <c r="J721" s="61"/>
      <c r="K721" s="61"/>
      <c r="L721" s="6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61"/>
      <c r="J722" s="61"/>
      <c r="K722" s="61"/>
      <c r="L722" s="6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61"/>
      <c r="J723" s="61"/>
      <c r="K723" s="61"/>
      <c r="L723" s="6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61"/>
      <c r="J724" s="61"/>
      <c r="K724" s="61"/>
      <c r="L724" s="6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61"/>
      <c r="J725" s="61"/>
      <c r="K725" s="61"/>
      <c r="L725" s="6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61"/>
      <c r="J726" s="61"/>
      <c r="K726" s="61"/>
      <c r="L726" s="6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61"/>
      <c r="J727" s="61"/>
      <c r="K727" s="61"/>
      <c r="L727" s="6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61"/>
      <c r="J728" s="61"/>
      <c r="K728" s="61"/>
      <c r="L728" s="6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61"/>
      <c r="J729" s="61"/>
      <c r="K729" s="61"/>
      <c r="L729" s="6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61"/>
      <c r="J730" s="61"/>
      <c r="K730" s="61"/>
      <c r="L730" s="6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61"/>
      <c r="J731" s="61"/>
      <c r="K731" s="61"/>
      <c r="L731" s="6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61"/>
      <c r="J732" s="61"/>
      <c r="K732" s="61"/>
      <c r="L732" s="6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61"/>
      <c r="J733" s="61"/>
      <c r="K733" s="61"/>
      <c r="L733" s="6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61"/>
      <c r="J734" s="61"/>
      <c r="K734" s="61"/>
      <c r="L734" s="6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61"/>
      <c r="J735" s="61"/>
      <c r="K735" s="61"/>
      <c r="L735" s="6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61"/>
      <c r="J736" s="61"/>
      <c r="K736" s="61"/>
      <c r="L736" s="6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61"/>
      <c r="J737" s="61"/>
      <c r="K737" s="61"/>
      <c r="L737" s="6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61"/>
      <c r="J738" s="61"/>
      <c r="K738" s="61"/>
      <c r="L738" s="6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61"/>
      <c r="J739" s="61"/>
      <c r="K739" s="61"/>
      <c r="L739" s="6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61"/>
      <c r="J740" s="61"/>
      <c r="K740" s="61"/>
      <c r="L740" s="6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61"/>
      <c r="J741" s="61"/>
      <c r="K741" s="61"/>
      <c r="L741" s="6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61"/>
      <c r="J742" s="61"/>
      <c r="K742" s="61"/>
      <c r="L742" s="6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61"/>
      <c r="J743" s="61"/>
      <c r="K743" s="61"/>
      <c r="L743" s="6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61"/>
      <c r="J744" s="61"/>
      <c r="K744" s="61"/>
      <c r="L744" s="6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61"/>
      <c r="J745" s="61"/>
      <c r="K745" s="61"/>
      <c r="L745" s="6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61"/>
      <c r="J746" s="61"/>
      <c r="K746" s="61"/>
      <c r="L746" s="6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61"/>
      <c r="J747" s="61"/>
      <c r="K747" s="61"/>
      <c r="L747" s="6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61"/>
      <c r="J748" s="61"/>
      <c r="K748" s="61"/>
      <c r="L748" s="6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61"/>
      <c r="J749" s="61"/>
      <c r="K749" s="61"/>
      <c r="L749" s="6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61"/>
      <c r="J750" s="61"/>
      <c r="K750" s="61"/>
      <c r="L750" s="6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61"/>
      <c r="J751" s="61"/>
      <c r="K751" s="61"/>
      <c r="L751" s="6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61"/>
      <c r="J752" s="61"/>
      <c r="K752" s="61"/>
      <c r="L752" s="6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61"/>
      <c r="J753" s="61"/>
      <c r="K753" s="61"/>
      <c r="L753" s="6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61"/>
      <c r="J754" s="61"/>
      <c r="K754" s="61"/>
      <c r="L754" s="6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61"/>
      <c r="J755" s="61"/>
      <c r="K755" s="61"/>
      <c r="L755" s="6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61"/>
      <c r="J756" s="61"/>
      <c r="K756" s="61"/>
      <c r="L756" s="6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61"/>
      <c r="J757" s="61"/>
      <c r="K757" s="61"/>
      <c r="L757" s="6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61"/>
      <c r="J758" s="61"/>
      <c r="K758" s="61"/>
      <c r="L758" s="6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61"/>
      <c r="J759" s="61"/>
      <c r="K759" s="61"/>
      <c r="L759" s="6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61"/>
      <c r="J760" s="61"/>
      <c r="K760" s="61"/>
      <c r="L760" s="6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61"/>
      <c r="J761" s="61"/>
      <c r="K761" s="61"/>
      <c r="L761" s="6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61"/>
      <c r="J762" s="61"/>
      <c r="K762" s="61"/>
      <c r="L762" s="6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61"/>
      <c r="J763" s="61"/>
      <c r="K763" s="61"/>
      <c r="L763" s="6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61"/>
      <c r="J764" s="61"/>
      <c r="K764" s="61"/>
      <c r="L764" s="6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61"/>
      <c r="J765" s="61"/>
      <c r="K765" s="61"/>
      <c r="L765" s="6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61"/>
      <c r="J766" s="61"/>
      <c r="K766" s="61"/>
      <c r="L766" s="6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61"/>
      <c r="J767" s="61"/>
      <c r="K767" s="61"/>
      <c r="L767" s="6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61"/>
      <c r="J768" s="61"/>
      <c r="K768" s="61"/>
      <c r="L768" s="6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61"/>
      <c r="J769" s="61"/>
      <c r="K769" s="61"/>
      <c r="L769" s="6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61"/>
      <c r="J770" s="61"/>
      <c r="K770" s="61"/>
      <c r="L770" s="6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61"/>
      <c r="J771" s="61"/>
      <c r="K771" s="61"/>
      <c r="L771" s="6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61"/>
      <c r="J772" s="61"/>
      <c r="K772" s="61"/>
      <c r="L772" s="6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61"/>
      <c r="J773" s="61"/>
      <c r="K773" s="61"/>
      <c r="L773" s="6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61"/>
      <c r="J774" s="61"/>
      <c r="K774" s="61"/>
      <c r="L774" s="6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61"/>
      <c r="J775" s="61"/>
      <c r="K775" s="61"/>
      <c r="L775" s="6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61"/>
      <c r="J776" s="61"/>
      <c r="K776" s="61"/>
      <c r="L776" s="6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61"/>
      <c r="J777" s="61"/>
      <c r="K777" s="61"/>
      <c r="L777" s="6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61"/>
      <c r="J778" s="61"/>
      <c r="K778" s="61"/>
      <c r="L778" s="6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61"/>
      <c r="J779" s="61"/>
      <c r="K779" s="61"/>
      <c r="L779" s="6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61"/>
      <c r="J780" s="61"/>
      <c r="K780" s="61"/>
      <c r="L780" s="6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61"/>
      <c r="J781" s="61"/>
      <c r="K781" s="61"/>
      <c r="L781" s="6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61"/>
      <c r="J782" s="61"/>
      <c r="K782" s="61"/>
      <c r="L782" s="6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61"/>
      <c r="J783" s="61"/>
      <c r="K783" s="61"/>
      <c r="L783" s="6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61"/>
      <c r="J784" s="61"/>
      <c r="K784" s="61"/>
      <c r="L784" s="6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61"/>
      <c r="J785" s="61"/>
      <c r="K785" s="61"/>
      <c r="L785" s="6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61"/>
      <c r="J786" s="61"/>
      <c r="K786" s="61"/>
      <c r="L786" s="6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61"/>
      <c r="J787" s="61"/>
      <c r="K787" s="61"/>
      <c r="L787" s="6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61"/>
      <c r="J788" s="61"/>
      <c r="K788" s="61"/>
      <c r="L788" s="6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61"/>
      <c r="J789" s="61"/>
      <c r="K789" s="61"/>
      <c r="L789" s="6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61"/>
      <c r="J790" s="61"/>
      <c r="K790" s="61"/>
      <c r="L790" s="6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61"/>
      <c r="J791" s="61"/>
      <c r="K791" s="61"/>
      <c r="L791" s="6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61"/>
      <c r="J792" s="61"/>
      <c r="K792" s="61"/>
      <c r="L792" s="6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61"/>
      <c r="J793" s="61"/>
      <c r="K793" s="61"/>
      <c r="L793" s="6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61"/>
      <c r="J794" s="61"/>
      <c r="K794" s="61"/>
      <c r="L794" s="6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61"/>
      <c r="J795" s="61"/>
      <c r="K795" s="61"/>
      <c r="L795" s="6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61"/>
      <c r="J796" s="61"/>
      <c r="K796" s="61"/>
      <c r="L796" s="6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61"/>
      <c r="J797" s="61"/>
      <c r="K797" s="61"/>
      <c r="L797" s="6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61"/>
      <c r="J798" s="61"/>
      <c r="K798" s="61"/>
      <c r="L798" s="6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61"/>
      <c r="J799" s="61"/>
      <c r="K799" s="61"/>
      <c r="L799" s="6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61"/>
      <c r="J800" s="61"/>
      <c r="K800" s="61"/>
      <c r="L800" s="6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61"/>
      <c r="J801" s="61"/>
      <c r="K801" s="61"/>
      <c r="L801" s="6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61"/>
      <c r="J802" s="61"/>
      <c r="K802" s="61"/>
      <c r="L802" s="6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61"/>
      <c r="J803" s="61"/>
      <c r="K803" s="61"/>
      <c r="L803" s="6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61"/>
      <c r="J804" s="61"/>
      <c r="K804" s="61"/>
      <c r="L804" s="6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61"/>
      <c r="J805" s="61"/>
      <c r="K805" s="61"/>
      <c r="L805" s="6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61"/>
      <c r="J806" s="61"/>
      <c r="K806" s="61"/>
      <c r="L806" s="6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61"/>
      <c r="J807" s="61"/>
      <c r="K807" s="61"/>
      <c r="L807" s="6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61"/>
      <c r="J808" s="61"/>
      <c r="K808" s="61"/>
      <c r="L808" s="6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61"/>
      <c r="J809" s="61"/>
      <c r="K809" s="61"/>
      <c r="L809" s="6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61"/>
      <c r="J810" s="61"/>
      <c r="K810" s="61"/>
      <c r="L810" s="6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61"/>
      <c r="J811" s="61"/>
      <c r="K811" s="61"/>
      <c r="L811" s="6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61"/>
      <c r="J812" s="61"/>
      <c r="K812" s="61"/>
      <c r="L812" s="6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61"/>
      <c r="J813" s="61"/>
      <c r="K813" s="61"/>
      <c r="L813" s="6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61"/>
      <c r="J814" s="61"/>
      <c r="K814" s="61"/>
      <c r="L814" s="6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61"/>
      <c r="J815" s="61"/>
      <c r="K815" s="61"/>
      <c r="L815" s="6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61"/>
      <c r="J816" s="61"/>
      <c r="K816" s="61"/>
      <c r="L816" s="6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61"/>
      <c r="J817" s="61"/>
      <c r="K817" s="61"/>
      <c r="L817" s="6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61"/>
      <c r="J818" s="61"/>
      <c r="K818" s="61"/>
      <c r="L818" s="6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61"/>
      <c r="J819" s="61"/>
      <c r="K819" s="61"/>
      <c r="L819" s="6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61"/>
      <c r="J820" s="61"/>
      <c r="K820" s="61"/>
      <c r="L820" s="6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61"/>
      <c r="J821" s="61"/>
      <c r="K821" s="61"/>
      <c r="L821" s="6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61"/>
      <c r="J822" s="61"/>
      <c r="K822" s="61"/>
      <c r="L822" s="6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61"/>
      <c r="J823" s="61"/>
      <c r="K823" s="61"/>
      <c r="L823" s="6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61"/>
      <c r="J824" s="61"/>
      <c r="K824" s="61"/>
      <c r="L824" s="6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61"/>
      <c r="J825" s="61"/>
      <c r="K825" s="61"/>
      <c r="L825" s="6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61"/>
      <c r="J826" s="61"/>
      <c r="K826" s="61"/>
      <c r="L826" s="6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61"/>
      <c r="J827" s="61"/>
      <c r="K827" s="61"/>
      <c r="L827" s="6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61"/>
      <c r="J828" s="61"/>
      <c r="K828" s="61"/>
      <c r="L828" s="6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61"/>
      <c r="J829" s="61"/>
      <c r="K829" s="61"/>
      <c r="L829" s="6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61"/>
      <c r="J830" s="61"/>
      <c r="K830" s="61"/>
      <c r="L830" s="6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61"/>
      <c r="J831" s="61"/>
      <c r="K831" s="61"/>
      <c r="L831" s="6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61"/>
      <c r="J832" s="61"/>
      <c r="K832" s="61"/>
      <c r="L832" s="6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61"/>
      <c r="J833" s="61"/>
      <c r="K833" s="61"/>
      <c r="L833" s="6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61"/>
      <c r="J834" s="61"/>
      <c r="K834" s="61"/>
      <c r="L834" s="6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61"/>
      <c r="J835" s="61"/>
      <c r="K835" s="61"/>
      <c r="L835" s="6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61"/>
      <c r="J836" s="61"/>
      <c r="K836" s="61"/>
      <c r="L836" s="6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61"/>
      <c r="J837" s="61"/>
      <c r="K837" s="61"/>
      <c r="L837" s="6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61"/>
      <c r="J838" s="61"/>
      <c r="K838" s="61"/>
      <c r="L838" s="6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61"/>
      <c r="J839" s="61"/>
      <c r="K839" s="61"/>
      <c r="L839" s="6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61"/>
      <c r="J840" s="61"/>
      <c r="K840" s="61"/>
      <c r="L840" s="6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61"/>
      <c r="J841" s="61"/>
      <c r="K841" s="61"/>
      <c r="L841" s="6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61"/>
      <c r="J842" s="61"/>
      <c r="K842" s="61"/>
      <c r="L842" s="6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61"/>
      <c r="J843" s="61"/>
      <c r="K843" s="61"/>
      <c r="L843" s="6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61"/>
      <c r="J844" s="61"/>
      <c r="K844" s="61"/>
      <c r="L844" s="6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61"/>
      <c r="J845" s="61"/>
      <c r="K845" s="61"/>
      <c r="L845" s="6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61"/>
      <c r="J846" s="61"/>
      <c r="K846" s="61"/>
      <c r="L846" s="6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61"/>
      <c r="J847" s="61"/>
      <c r="K847" s="61"/>
      <c r="L847" s="6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61"/>
      <c r="J848" s="61"/>
      <c r="K848" s="61"/>
      <c r="L848" s="6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61"/>
      <c r="J849" s="61"/>
      <c r="K849" s="61"/>
      <c r="L849" s="6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61"/>
      <c r="J850" s="61"/>
      <c r="K850" s="61"/>
      <c r="L850" s="6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61"/>
      <c r="J851" s="61"/>
      <c r="K851" s="61"/>
      <c r="L851" s="6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61"/>
      <c r="J852" s="61"/>
      <c r="K852" s="61"/>
      <c r="L852" s="6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61"/>
      <c r="J853" s="61"/>
      <c r="K853" s="61"/>
      <c r="L853" s="6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61"/>
      <c r="J854" s="61"/>
      <c r="K854" s="61"/>
      <c r="L854" s="6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61"/>
      <c r="J855" s="61"/>
      <c r="K855" s="61"/>
      <c r="L855" s="6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61"/>
      <c r="J856" s="61"/>
      <c r="K856" s="61"/>
      <c r="L856" s="6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61"/>
      <c r="J857" s="61"/>
      <c r="K857" s="61"/>
      <c r="L857" s="6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61"/>
      <c r="J858" s="61"/>
      <c r="K858" s="61"/>
      <c r="L858" s="6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61"/>
      <c r="J859" s="61"/>
      <c r="K859" s="61"/>
      <c r="L859" s="6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61"/>
      <c r="J860" s="61"/>
      <c r="K860" s="61"/>
      <c r="L860" s="6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61"/>
      <c r="J861" s="61"/>
      <c r="K861" s="61"/>
      <c r="L861" s="6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61"/>
      <c r="J862" s="61"/>
      <c r="K862" s="61"/>
      <c r="L862" s="6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61"/>
      <c r="J863" s="61"/>
      <c r="K863" s="61"/>
      <c r="L863" s="6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61"/>
      <c r="J864" s="61"/>
      <c r="K864" s="61"/>
      <c r="L864" s="6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61"/>
      <c r="J865" s="61"/>
      <c r="K865" s="61"/>
      <c r="L865" s="6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61"/>
      <c r="J866" s="61"/>
      <c r="K866" s="61"/>
      <c r="L866" s="6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61"/>
      <c r="J867" s="61"/>
      <c r="K867" s="61"/>
      <c r="L867" s="6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61"/>
      <c r="J868" s="61"/>
      <c r="K868" s="61"/>
      <c r="L868" s="6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61"/>
      <c r="J869" s="61"/>
      <c r="K869" s="61"/>
      <c r="L869" s="6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61"/>
      <c r="J870" s="61"/>
      <c r="K870" s="61"/>
      <c r="L870" s="6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61"/>
      <c r="J871" s="61"/>
      <c r="K871" s="61"/>
      <c r="L871" s="6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61"/>
      <c r="J872" s="61"/>
      <c r="K872" s="61"/>
      <c r="L872" s="6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61"/>
      <c r="J873" s="61"/>
      <c r="K873" s="61"/>
      <c r="L873" s="6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61"/>
      <c r="J874" s="61"/>
      <c r="K874" s="61"/>
      <c r="L874" s="6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61"/>
      <c r="J875" s="61"/>
      <c r="K875" s="61"/>
      <c r="L875" s="6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61"/>
      <c r="J876" s="61"/>
      <c r="K876" s="61"/>
      <c r="L876" s="6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61"/>
      <c r="J877" s="61"/>
      <c r="K877" s="61"/>
      <c r="L877" s="6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61"/>
      <c r="J878" s="61"/>
      <c r="K878" s="61"/>
      <c r="L878" s="6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61"/>
      <c r="J879" s="61"/>
      <c r="K879" s="61"/>
      <c r="L879" s="6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61"/>
      <c r="J880" s="61"/>
      <c r="K880" s="61"/>
      <c r="L880" s="6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61"/>
      <c r="J881" s="61"/>
      <c r="K881" s="61"/>
      <c r="L881" s="6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61"/>
      <c r="J882" s="61"/>
      <c r="K882" s="61"/>
      <c r="L882" s="6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61"/>
      <c r="J883" s="61"/>
      <c r="K883" s="61"/>
      <c r="L883" s="6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61"/>
      <c r="J884" s="61"/>
      <c r="K884" s="61"/>
      <c r="L884" s="6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61"/>
      <c r="J885" s="61"/>
      <c r="K885" s="61"/>
      <c r="L885" s="6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61"/>
      <c r="J886" s="61"/>
      <c r="K886" s="61"/>
      <c r="L886" s="6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61"/>
      <c r="J887" s="61"/>
      <c r="K887" s="61"/>
      <c r="L887" s="6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61"/>
      <c r="J888" s="61"/>
      <c r="K888" s="61"/>
      <c r="L888" s="6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61"/>
      <c r="J889" s="61"/>
      <c r="K889" s="61"/>
      <c r="L889" s="6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61"/>
      <c r="J890" s="61"/>
      <c r="K890" s="61"/>
      <c r="L890" s="6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61"/>
      <c r="J891" s="61"/>
      <c r="K891" s="61"/>
      <c r="L891" s="6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61"/>
      <c r="J892" s="61"/>
      <c r="K892" s="61"/>
      <c r="L892" s="6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61"/>
      <c r="J893" s="61"/>
      <c r="K893" s="61"/>
      <c r="L893" s="6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61"/>
      <c r="J894" s="61"/>
      <c r="K894" s="61"/>
      <c r="L894" s="6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61"/>
      <c r="J895" s="61"/>
      <c r="K895" s="61"/>
      <c r="L895" s="6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61"/>
      <c r="J896" s="61"/>
      <c r="K896" s="61"/>
      <c r="L896" s="6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61"/>
      <c r="J897" s="61"/>
      <c r="K897" s="61"/>
      <c r="L897" s="6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61"/>
      <c r="J898" s="61"/>
      <c r="K898" s="61"/>
      <c r="L898" s="6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61"/>
      <c r="J899" s="61"/>
      <c r="K899" s="61"/>
      <c r="L899" s="6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61"/>
      <c r="J900" s="61"/>
      <c r="K900" s="61"/>
      <c r="L900" s="6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61"/>
      <c r="J901" s="61"/>
      <c r="K901" s="61"/>
      <c r="L901" s="6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61"/>
      <c r="J902" s="61"/>
      <c r="K902" s="61"/>
      <c r="L902" s="6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61"/>
      <c r="J903" s="61"/>
      <c r="K903" s="61"/>
      <c r="L903" s="6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61"/>
      <c r="J904" s="61"/>
      <c r="K904" s="61"/>
      <c r="L904" s="6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61"/>
      <c r="J905" s="61"/>
      <c r="K905" s="61"/>
      <c r="L905" s="6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61"/>
      <c r="J906" s="61"/>
      <c r="K906" s="61"/>
      <c r="L906" s="6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61"/>
      <c r="J907" s="61"/>
      <c r="K907" s="61"/>
      <c r="L907" s="6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61"/>
      <c r="J908" s="61"/>
      <c r="K908" s="61"/>
      <c r="L908" s="6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61"/>
      <c r="J909" s="61"/>
      <c r="K909" s="61"/>
      <c r="L909" s="6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61"/>
      <c r="J910" s="61"/>
      <c r="K910" s="61"/>
      <c r="L910" s="6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61"/>
      <c r="J911" s="61"/>
      <c r="K911" s="61"/>
      <c r="L911" s="6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61"/>
      <c r="J912" s="61"/>
      <c r="K912" s="61"/>
      <c r="L912" s="6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61"/>
      <c r="J913" s="61"/>
      <c r="K913" s="61"/>
      <c r="L913" s="6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61"/>
      <c r="J914" s="61"/>
      <c r="K914" s="61"/>
      <c r="L914" s="6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61"/>
      <c r="J915" s="61"/>
      <c r="K915" s="61"/>
      <c r="L915" s="6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61"/>
      <c r="J916" s="61"/>
      <c r="K916" s="61"/>
      <c r="L916" s="6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61"/>
      <c r="J917" s="61"/>
      <c r="K917" s="61"/>
      <c r="L917" s="6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61"/>
      <c r="J918" s="61"/>
      <c r="K918" s="61"/>
      <c r="L918" s="6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61"/>
      <c r="J919" s="61"/>
      <c r="K919" s="61"/>
      <c r="L919" s="6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61"/>
      <c r="J920" s="61"/>
      <c r="K920" s="61"/>
      <c r="L920" s="6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61"/>
      <c r="J921" s="61"/>
      <c r="K921" s="61"/>
      <c r="L921" s="6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61"/>
      <c r="J922" s="61"/>
      <c r="K922" s="61"/>
      <c r="L922" s="6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61"/>
      <c r="J923" s="61"/>
      <c r="K923" s="61"/>
      <c r="L923" s="6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61"/>
      <c r="J924" s="61"/>
      <c r="K924" s="61"/>
      <c r="L924" s="6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61"/>
      <c r="J925" s="61"/>
      <c r="K925" s="61"/>
      <c r="L925" s="6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61"/>
      <c r="J926" s="61"/>
      <c r="K926" s="61"/>
      <c r="L926" s="6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61"/>
      <c r="J927" s="61"/>
      <c r="K927" s="61"/>
      <c r="L927" s="6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61"/>
      <c r="J928" s="61"/>
      <c r="K928" s="61"/>
      <c r="L928" s="6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61"/>
      <c r="J929" s="61"/>
      <c r="K929" s="61"/>
      <c r="L929" s="6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61"/>
      <c r="J930" s="61"/>
      <c r="K930" s="61"/>
      <c r="L930" s="6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61"/>
      <c r="J931" s="61"/>
      <c r="K931" s="61"/>
      <c r="L931" s="6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61"/>
      <c r="J932" s="61"/>
      <c r="K932" s="61"/>
      <c r="L932" s="6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61"/>
      <c r="J933" s="61"/>
      <c r="K933" s="61"/>
      <c r="L933" s="6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61"/>
      <c r="J934" s="61"/>
      <c r="K934" s="61"/>
      <c r="L934" s="6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61"/>
      <c r="J935" s="61"/>
      <c r="K935" s="61"/>
      <c r="L935" s="6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61"/>
      <c r="J936" s="61"/>
      <c r="K936" s="61"/>
      <c r="L936" s="6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61"/>
      <c r="J937" s="61"/>
      <c r="K937" s="61"/>
      <c r="L937" s="6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61"/>
      <c r="J938" s="61"/>
      <c r="K938" s="61"/>
      <c r="L938" s="6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61"/>
      <c r="J939" s="61"/>
      <c r="K939" s="61"/>
      <c r="L939" s="6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61"/>
      <c r="J940" s="61"/>
      <c r="K940" s="61"/>
      <c r="L940" s="6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61"/>
      <c r="J941" s="61"/>
      <c r="K941" s="61"/>
      <c r="L941" s="6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61"/>
      <c r="J942" s="61"/>
      <c r="K942" s="61"/>
      <c r="L942" s="6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61"/>
      <c r="J943" s="61"/>
      <c r="K943" s="61"/>
      <c r="L943" s="6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61"/>
      <c r="J944" s="61"/>
      <c r="K944" s="61"/>
      <c r="L944" s="6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61"/>
      <c r="J945" s="61"/>
      <c r="K945" s="61"/>
      <c r="L945" s="6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61"/>
      <c r="J946" s="61"/>
      <c r="K946" s="61"/>
      <c r="L946" s="6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61"/>
      <c r="J947" s="61"/>
      <c r="K947" s="61"/>
      <c r="L947" s="6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61"/>
      <c r="J948" s="61"/>
      <c r="K948" s="61"/>
      <c r="L948" s="6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61"/>
      <c r="J949" s="61"/>
      <c r="K949" s="61"/>
      <c r="L949" s="6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61"/>
      <c r="J950" s="61"/>
      <c r="K950" s="61"/>
      <c r="L950" s="6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61"/>
      <c r="J951" s="61"/>
      <c r="K951" s="61"/>
      <c r="L951" s="6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61"/>
      <c r="J952" s="61"/>
      <c r="K952" s="61"/>
      <c r="L952" s="6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61"/>
      <c r="J953" s="61"/>
      <c r="K953" s="61"/>
      <c r="L953" s="6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61"/>
      <c r="J954" s="61"/>
      <c r="K954" s="61"/>
      <c r="L954" s="6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61"/>
      <c r="J955" s="61"/>
      <c r="K955" s="61"/>
      <c r="L955" s="6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61"/>
      <c r="J956" s="61"/>
      <c r="K956" s="61"/>
      <c r="L956" s="6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61"/>
      <c r="J957" s="61"/>
      <c r="K957" s="61"/>
      <c r="L957" s="6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61"/>
      <c r="J958" s="61"/>
      <c r="K958" s="61"/>
      <c r="L958" s="6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61"/>
      <c r="J959" s="61"/>
      <c r="K959" s="61"/>
      <c r="L959" s="6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61"/>
      <c r="J960" s="61"/>
      <c r="K960" s="61"/>
      <c r="L960" s="6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61"/>
      <c r="J961" s="61"/>
      <c r="K961" s="61"/>
      <c r="L961" s="6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61"/>
      <c r="J962" s="61"/>
      <c r="K962" s="61"/>
      <c r="L962" s="6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61"/>
      <c r="J963" s="61"/>
      <c r="K963" s="61"/>
      <c r="L963" s="6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61"/>
      <c r="J964" s="61"/>
      <c r="K964" s="61"/>
      <c r="L964" s="6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61"/>
      <c r="J965" s="61"/>
      <c r="K965" s="61"/>
      <c r="L965" s="6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61"/>
      <c r="J966" s="61"/>
      <c r="K966" s="61"/>
      <c r="L966" s="6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61"/>
      <c r="J967" s="61"/>
      <c r="K967" s="61"/>
      <c r="L967" s="6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61"/>
      <c r="J968" s="61"/>
      <c r="K968" s="61"/>
      <c r="L968" s="6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61"/>
      <c r="J969" s="61"/>
      <c r="K969" s="61"/>
      <c r="L969" s="6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61"/>
      <c r="J970" s="61"/>
      <c r="K970" s="61"/>
      <c r="L970" s="6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61"/>
      <c r="J971" s="61"/>
      <c r="K971" s="61"/>
      <c r="L971" s="6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61"/>
      <c r="J972" s="61"/>
      <c r="K972" s="61"/>
      <c r="L972" s="6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61"/>
      <c r="J973" s="61"/>
      <c r="K973" s="61"/>
      <c r="L973" s="6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61"/>
      <c r="J974" s="61"/>
      <c r="K974" s="61"/>
      <c r="L974" s="6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61"/>
      <c r="J975" s="61"/>
      <c r="K975" s="61"/>
      <c r="L975" s="6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61"/>
      <c r="J976" s="61"/>
      <c r="K976" s="61"/>
      <c r="L976" s="6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61"/>
      <c r="J977" s="61"/>
      <c r="K977" s="61"/>
      <c r="L977" s="6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61"/>
      <c r="J978" s="61"/>
      <c r="K978" s="61"/>
      <c r="L978" s="6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61"/>
      <c r="J979" s="61"/>
      <c r="K979" s="61"/>
      <c r="L979" s="6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61"/>
      <c r="J980" s="61"/>
      <c r="K980" s="61"/>
      <c r="L980" s="6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61"/>
      <c r="J981" s="61"/>
      <c r="K981" s="61"/>
      <c r="L981" s="6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61"/>
      <c r="J982" s="61"/>
      <c r="K982" s="61"/>
      <c r="L982" s="6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61"/>
      <c r="J983" s="61"/>
      <c r="K983" s="61"/>
      <c r="L983" s="6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61"/>
      <c r="J984" s="61"/>
      <c r="K984" s="61"/>
      <c r="L984" s="6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61"/>
      <c r="J985" s="61"/>
      <c r="K985" s="61"/>
      <c r="L985" s="6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61"/>
      <c r="J986" s="61"/>
      <c r="K986" s="61"/>
      <c r="L986" s="6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61"/>
      <c r="J987" s="61"/>
      <c r="K987" s="61"/>
      <c r="L987" s="6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61"/>
      <c r="J988" s="61"/>
      <c r="K988" s="61"/>
      <c r="L988" s="6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61"/>
      <c r="J989" s="61"/>
      <c r="K989" s="61"/>
      <c r="L989" s="6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61"/>
      <c r="J990" s="61"/>
      <c r="K990" s="61"/>
      <c r="L990" s="6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61"/>
      <c r="J991" s="61"/>
      <c r="K991" s="61"/>
      <c r="L991" s="6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61"/>
      <c r="J992" s="61"/>
      <c r="K992" s="61"/>
      <c r="L992" s="6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61"/>
      <c r="J993" s="61"/>
      <c r="K993" s="61"/>
      <c r="L993" s="6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61"/>
      <c r="J994" s="61"/>
      <c r="K994" s="61"/>
      <c r="L994" s="6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61"/>
      <c r="J995" s="61"/>
      <c r="K995" s="61"/>
      <c r="L995" s="6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61"/>
      <c r="J996" s="61"/>
      <c r="K996" s="61"/>
      <c r="L996" s="6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61"/>
      <c r="J997" s="61"/>
      <c r="K997" s="61"/>
      <c r="L997" s="6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61"/>
      <c r="J998" s="61"/>
      <c r="K998" s="61"/>
      <c r="L998" s="6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61"/>
      <c r="J999" s="61"/>
      <c r="K999" s="61"/>
      <c r="L999" s="6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61"/>
      <c r="J1000" s="61"/>
      <c r="K1000" s="61"/>
      <c r="L1000" s="6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61"/>
      <c r="J1001" s="61"/>
      <c r="K1001" s="61"/>
      <c r="L1001" s="6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61"/>
      <c r="J1002" s="61"/>
      <c r="K1002" s="61"/>
      <c r="L1002" s="6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4">
    <mergeCell ref="A2:O2"/>
    <mergeCell ref="A3:O3"/>
    <mergeCell ref="A4:O5"/>
    <mergeCell ref="N8:O8"/>
  </mergeCells>
  <dataValidations>
    <dataValidation type="list" allowBlank="1" showErrorMessage="1" sqref="H7">
      <formula1>"Mel,Flavia,Fernanda,ANA JULIA,Leticia,Miriã"</formula1>
    </dataValidation>
    <dataValidation type="list" allowBlank="1" showErrorMessage="1" sqref="A7:A95">
      <formula1>"Pix,Cartão,Pacote ,Pago "</formula1>
    </dataValidation>
    <dataValidation type="list" allowBlank="1" showErrorMessage="1" sqref="D7 D9:D95">
      <formula1>"White board,Cartoon ,3D ,3D personalizado,3D Premium,VSL,Logo,Post,Influencer Pamela,Influencer João B.,3D Estatico ,3D Realista,Edição audio,Pov,Flow,Personalização,Explainer"</formula1>
    </dataValidation>
    <dataValidation type="list" allowBlank="1" showErrorMessage="1" sqref="D8">
      <formula1>"White board,Cartoon ,3D ,3D personalizado,3D Premium,VSL,Logo,Post,Influencer Pamela,Influencer João B.,3D Estatico ,3D Realista,Edição audio,Pov,Flow,Personalização,Explainer,mascote"</formula1>
    </dataValidation>
    <dataValidation type="list" allowBlank="1" showErrorMessage="1" sqref="C7:C95 H8:H95">
      <formula1>"Vinicius,Kaua,Caio,Julia,Jhonatas,Diogo,Caio Ferreira,Pamelah,Caio Alves,Camila,Wiliam ,Gabriel ,Fernanda,Kaua Pessoni,Gabriel Batista,Gustavo Pereira,Demetrio ,Caio Vinicius,Wesley"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88"/>
    <col customWidth="1" min="6" max="6" width="15.63"/>
    <col customWidth="1" min="13" max="13" width="15.0"/>
  </cols>
  <sheetData>
    <row r="1">
      <c r="A1" s="1"/>
      <c r="B1" s="1"/>
      <c r="C1" s="2"/>
      <c r="D1" s="2"/>
      <c r="E1" s="2"/>
      <c r="F1" s="2"/>
      <c r="G1" s="2"/>
      <c r="H1" s="2"/>
      <c r="I1" s="3"/>
      <c r="J1" s="3"/>
      <c r="K1" s="3"/>
      <c r="L1" s="3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7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4" t="s">
        <v>3</v>
      </c>
      <c r="B6" s="15" t="s">
        <v>4</v>
      </c>
      <c r="C6" s="15" t="s">
        <v>5</v>
      </c>
      <c r="D6" s="15" t="s">
        <v>6</v>
      </c>
      <c r="E6" s="15" t="s">
        <v>7</v>
      </c>
      <c r="F6" s="16" t="s">
        <v>8</v>
      </c>
      <c r="G6" s="14" t="s">
        <v>9</v>
      </c>
      <c r="H6" s="14" t="s">
        <v>10</v>
      </c>
      <c r="I6" s="17" t="s">
        <v>11</v>
      </c>
      <c r="J6" s="18" t="s">
        <v>12</v>
      </c>
      <c r="K6" s="19" t="s">
        <v>13</v>
      </c>
      <c r="L6" s="20" t="s">
        <v>14</v>
      </c>
      <c r="M6" s="21" t="s">
        <v>15</v>
      </c>
      <c r="N6" s="2"/>
      <c r="O6" s="2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68" t="s">
        <v>20</v>
      </c>
      <c r="B7" s="23"/>
      <c r="C7" s="24"/>
      <c r="D7" s="23"/>
      <c r="E7" s="128" t="s">
        <v>166</v>
      </c>
      <c r="F7" s="25"/>
      <c r="G7" s="129" t="s">
        <v>167</v>
      </c>
      <c r="H7" s="27"/>
      <c r="I7" s="28"/>
      <c r="J7" s="29"/>
      <c r="K7" s="30"/>
      <c r="L7" s="126">
        <v>100.0</v>
      </c>
      <c r="M7" s="84">
        <v>100.0</v>
      </c>
      <c r="N7" s="2"/>
      <c r="O7" s="22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68" t="s">
        <v>20</v>
      </c>
      <c r="B8" s="23"/>
      <c r="C8" s="82" t="s">
        <v>168</v>
      </c>
      <c r="D8" s="68" t="s">
        <v>24</v>
      </c>
      <c r="E8" s="98" t="s">
        <v>169</v>
      </c>
      <c r="F8" s="26"/>
      <c r="G8" s="78" t="s">
        <v>170</v>
      </c>
      <c r="H8" s="82" t="s">
        <v>39</v>
      </c>
      <c r="I8" s="28"/>
      <c r="J8" s="29"/>
      <c r="K8" s="119">
        <v>250.0</v>
      </c>
      <c r="L8" s="31"/>
      <c r="M8" s="27">
        <v>100.0</v>
      </c>
      <c r="N8" s="33" t="s">
        <v>16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8" t="s">
        <v>51</v>
      </c>
      <c r="B9" s="23"/>
      <c r="C9" s="24"/>
      <c r="D9" s="68" t="s">
        <v>24</v>
      </c>
      <c r="E9" s="125" t="s">
        <v>171</v>
      </c>
      <c r="F9" s="26"/>
      <c r="G9" s="71" t="s">
        <v>172</v>
      </c>
      <c r="H9" s="24"/>
      <c r="I9" s="28"/>
      <c r="J9" s="29"/>
      <c r="K9" s="30"/>
      <c r="L9" s="126" t="s">
        <v>109</v>
      </c>
      <c r="M9" s="27" t="s">
        <v>58</v>
      </c>
      <c r="N9" s="17" t="s">
        <v>11</v>
      </c>
      <c r="O9" s="34">
        <f>SUM(I6:I95)</f>
        <v>600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8" t="s">
        <v>20</v>
      </c>
      <c r="B10" s="23"/>
      <c r="C10" s="24"/>
      <c r="D10" s="68" t="s">
        <v>94</v>
      </c>
      <c r="E10" s="125" t="s">
        <v>173</v>
      </c>
      <c r="F10" s="26"/>
      <c r="G10" s="78" t="s">
        <v>174</v>
      </c>
      <c r="H10" s="24"/>
      <c r="I10" s="130">
        <v>350.0</v>
      </c>
      <c r="J10" s="29"/>
      <c r="K10" s="30"/>
      <c r="L10" s="31"/>
      <c r="M10" s="84">
        <v>350.0</v>
      </c>
      <c r="N10" s="18" t="s">
        <v>12</v>
      </c>
      <c r="O10" s="34">
        <f>SUM(J7:J95)</f>
        <v>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68" t="s">
        <v>20</v>
      </c>
      <c r="B11" s="23"/>
      <c r="C11" s="24"/>
      <c r="D11" s="68" t="s">
        <v>24</v>
      </c>
      <c r="E11" s="68" t="s">
        <v>175</v>
      </c>
      <c r="F11" s="26"/>
      <c r="G11" s="78" t="s">
        <v>176</v>
      </c>
      <c r="H11" s="24"/>
      <c r="I11" s="28"/>
      <c r="J11" s="29"/>
      <c r="K11" s="119">
        <v>300.0</v>
      </c>
      <c r="L11" s="31"/>
      <c r="M11" s="27">
        <v>100.0</v>
      </c>
      <c r="N11" s="19" t="s">
        <v>13</v>
      </c>
      <c r="O11" s="34">
        <f>SUM(K7:K96)</f>
        <v>550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68" t="s">
        <v>20</v>
      </c>
      <c r="B12" s="23"/>
      <c r="C12" s="24"/>
      <c r="D12" s="68" t="s">
        <v>53</v>
      </c>
      <c r="E12" s="125" t="s">
        <v>177</v>
      </c>
      <c r="F12" s="26"/>
      <c r="G12" s="78">
        <v>9.492551705E9</v>
      </c>
      <c r="H12" s="24"/>
      <c r="I12" s="130">
        <v>250.0</v>
      </c>
      <c r="J12" s="29"/>
      <c r="K12" s="30"/>
      <c r="L12" s="31"/>
      <c r="M12" s="32"/>
      <c r="N12" s="20" t="s">
        <v>14</v>
      </c>
      <c r="O12" s="34">
        <f>SUM(L7:L96)</f>
        <v>100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3"/>
      <c r="B13" s="23"/>
      <c r="C13" s="24"/>
      <c r="D13" s="23"/>
      <c r="E13" s="26"/>
      <c r="F13" s="26"/>
      <c r="G13" s="26"/>
      <c r="H13" s="24"/>
      <c r="I13" s="28"/>
      <c r="J13" s="29"/>
      <c r="K13" s="30"/>
      <c r="L13" s="31"/>
      <c r="M13" s="35"/>
      <c r="N13" s="36" t="s">
        <v>17</v>
      </c>
      <c r="O13" s="37">
        <f>SUM(N8:O12)</f>
        <v>1250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3"/>
      <c r="B14" s="23"/>
      <c r="C14" s="24"/>
      <c r="D14" s="23"/>
      <c r="E14" s="26"/>
      <c r="F14" s="26"/>
      <c r="G14" s="26"/>
      <c r="H14" s="24"/>
      <c r="I14" s="28"/>
      <c r="J14" s="29"/>
      <c r="K14" s="30"/>
      <c r="L14" s="31"/>
      <c r="M14" s="35"/>
      <c r="N14" s="2"/>
      <c r="O14" s="2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3"/>
      <c r="B15" s="23"/>
      <c r="C15" s="24"/>
      <c r="D15" s="23"/>
      <c r="E15" s="26"/>
      <c r="F15" s="26"/>
      <c r="G15" s="26"/>
      <c r="H15" s="24"/>
      <c r="I15" s="28"/>
      <c r="J15" s="29"/>
      <c r="K15" s="30"/>
      <c r="L15" s="31"/>
      <c r="M15" s="35"/>
      <c r="N15" s="2"/>
      <c r="O15" s="2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3"/>
      <c r="B16" s="23"/>
      <c r="C16" s="24"/>
      <c r="D16" s="23"/>
      <c r="E16" s="26"/>
      <c r="F16" s="26"/>
      <c r="G16" s="26"/>
      <c r="H16" s="24"/>
      <c r="I16" s="28"/>
      <c r="J16" s="29"/>
      <c r="K16" s="30"/>
      <c r="L16" s="31"/>
      <c r="M16" s="35"/>
      <c r="N16" s="2"/>
      <c r="O16" s="2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3"/>
      <c r="B17" s="23"/>
      <c r="C17" s="24"/>
      <c r="D17" s="23"/>
      <c r="E17" s="26"/>
      <c r="F17" s="26"/>
      <c r="G17" s="26"/>
      <c r="H17" s="24"/>
      <c r="I17" s="28"/>
      <c r="J17" s="29"/>
      <c r="K17" s="30"/>
      <c r="L17" s="31"/>
      <c r="M17" s="35"/>
      <c r="N17" s="2"/>
      <c r="O17" s="2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3"/>
      <c r="B18" s="23"/>
      <c r="C18" s="24"/>
      <c r="D18" s="23"/>
      <c r="E18" s="26"/>
      <c r="F18" s="26"/>
      <c r="G18" s="26"/>
      <c r="H18" s="24"/>
      <c r="I18" s="28"/>
      <c r="J18" s="29"/>
      <c r="K18" s="30"/>
      <c r="L18" s="31"/>
      <c r="M18" s="35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3"/>
      <c r="B19" s="23"/>
      <c r="C19" s="24"/>
      <c r="D19" s="23"/>
      <c r="E19" s="26"/>
      <c r="F19" s="26"/>
      <c r="G19" s="26"/>
      <c r="H19" s="24"/>
      <c r="I19" s="28"/>
      <c r="J19" s="29"/>
      <c r="K19" s="30"/>
      <c r="L19" s="31"/>
      <c r="M19" s="3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3"/>
      <c r="B20" s="23"/>
      <c r="C20" s="24"/>
      <c r="D20" s="23"/>
      <c r="E20" s="26"/>
      <c r="F20" s="26"/>
      <c r="G20" s="26"/>
      <c r="H20" s="24"/>
      <c r="I20" s="28"/>
      <c r="J20" s="29"/>
      <c r="K20" s="30"/>
      <c r="L20" s="31"/>
      <c r="M20" s="3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3"/>
      <c r="B21" s="23"/>
      <c r="C21" s="24"/>
      <c r="D21" s="23"/>
      <c r="E21" s="26"/>
      <c r="F21" s="26"/>
      <c r="G21" s="26"/>
      <c r="H21" s="24"/>
      <c r="I21" s="28"/>
      <c r="J21" s="29"/>
      <c r="K21" s="30"/>
      <c r="L21" s="31"/>
      <c r="M21" s="3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3"/>
      <c r="B22" s="23"/>
      <c r="C22" s="24"/>
      <c r="D22" s="23"/>
      <c r="E22" s="26"/>
      <c r="F22" s="26"/>
      <c r="G22" s="26"/>
      <c r="H22" s="24"/>
      <c r="I22" s="28"/>
      <c r="J22" s="29"/>
      <c r="K22" s="30"/>
      <c r="L22" s="31"/>
      <c r="M22" s="3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3"/>
      <c r="B23" s="23"/>
      <c r="C23" s="24"/>
      <c r="D23" s="23"/>
      <c r="E23" s="26"/>
      <c r="F23" s="26"/>
      <c r="G23" s="26"/>
      <c r="H23" s="24"/>
      <c r="I23" s="28"/>
      <c r="J23" s="29"/>
      <c r="K23" s="30"/>
      <c r="L23" s="31"/>
      <c r="M23" s="3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3"/>
      <c r="B24" s="23"/>
      <c r="C24" s="24"/>
      <c r="D24" s="23"/>
      <c r="E24" s="26"/>
      <c r="F24" s="26"/>
      <c r="G24" s="26"/>
      <c r="H24" s="24"/>
      <c r="I24" s="38"/>
      <c r="J24" s="39"/>
      <c r="K24" s="40"/>
      <c r="L24" s="41"/>
      <c r="M24" s="3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3"/>
      <c r="B25" s="23"/>
      <c r="C25" s="24"/>
      <c r="D25" s="23"/>
      <c r="E25" s="26"/>
      <c r="F25" s="26"/>
      <c r="G25" s="26"/>
      <c r="H25" s="24"/>
      <c r="I25" s="38"/>
      <c r="J25" s="39"/>
      <c r="K25" s="40"/>
      <c r="L25" s="41"/>
      <c r="M25" s="3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3"/>
      <c r="B26" s="23"/>
      <c r="C26" s="24"/>
      <c r="D26" s="23"/>
      <c r="E26" s="26"/>
      <c r="F26" s="26"/>
      <c r="G26" s="26"/>
      <c r="H26" s="24"/>
      <c r="I26" s="38"/>
      <c r="J26" s="39"/>
      <c r="K26" s="40"/>
      <c r="L26" s="41"/>
      <c r="M26" s="3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3"/>
      <c r="B27" s="23"/>
      <c r="C27" s="24"/>
      <c r="D27" s="23"/>
      <c r="E27" s="26"/>
      <c r="F27" s="26"/>
      <c r="G27" s="26"/>
      <c r="H27" s="24"/>
      <c r="I27" s="38"/>
      <c r="J27" s="39"/>
      <c r="K27" s="40"/>
      <c r="L27" s="41"/>
      <c r="M27" s="3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3"/>
      <c r="B28" s="23"/>
      <c r="C28" s="24"/>
      <c r="D28" s="23"/>
      <c r="E28" s="26"/>
      <c r="F28" s="26"/>
      <c r="G28" s="26"/>
      <c r="H28" s="24"/>
      <c r="I28" s="38"/>
      <c r="J28" s="39"/>
      <c r="K28" s="40"/>
      <c r="L28" s="41"/>
      <c r="M28" s="35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3"/>
      <c r="B29" s="23"/>
      <c r="C29" s="24"/>
      <c r="D29" s="23"/>
      <c r="E29" s="26"/>
      <c r="F29" s="26"/>
      <c r="G29" s="26"/>
      <c r="H29" s="24"/>
      <c r="I29" s="38"/>
      <c r="J29" s="39"/>
      <c r="K29" s="40"/>
      <c r="L29" s="41"/>
      <c r="M29" s="3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3"/>
      <c r="B30" s="23"/>
      <c r="C30" s="24"/>
      <c r="D30" s="23"/>
      <c r="E30" s="26"/>
      <c r="F30" s="26"/>
      <c r="G30" s="26"/>
      <c r="H30" s="24"/>
      <c r="I30" s="38"/>
      <c r="J30" s="39"/>
      <c r="K30" s="40"/>
      <c r="L30" s="41"/>
      <c r="M30" s="3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3"/>
      <c r="B31" s="23"/>
      <c r="C31" s="24"/>
      <c r="D31" s="23"/>
      <c r="E31" s="26"/>
      <c r="F31" s="26"/>
      <c r="G31" s="26"/>
      <c r="H31" s="24"/>
      <c r="I31" s="38"/>
      <c r="J31" s="39"/>
      <c r="K31" s="40"/>
      <c r="L31" s="41"/>
      <c r="M31" s="3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3"/>
      <c r="B32" s="23"/>
      <c r="C32" s="24"/>
      <c r="D32" s="23"/>
      <c r="E32" s="26"/>
      <c r="F32" s="26"/>
      <c r="G32" s="26"/>
      <c r="H32" s="24"/>
      <c r="I32" s="38"/>
      <c r="J32" s="39"/>
      <c r="K32" s="40"/>
      <c r="L32" s="41"/>
      <c r="M32" s="3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3"/>
      <c r="B33" s="23"/>
      <c r="C33" s="24"/>
      <c r="D33" s="23"/>
      <c r="E33" s="26"/>
      <c r="F33" s="26"/>
      <c r="G33" s="26"/>
      <c r="H33" s="24"/>
      <c r="I33" s="38"/>
      <c r="J33" s="39"/>
      <c r="K33" s="40"/>
      <c r="L33" s="41"/>
      <c r="M33" s="3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3"/>
      <c r="B34" s="23"/>
      <c r="C34" s="24"/>
      <c r="D34" s="23"/>
      <c r="E34" s="26"/>
      <c r="F34" s="26"/>
      <c r="G34" s="26"/>
      <c r="H34" s="24"/>
      <c r="I34" s="38"/>
      <c r="J34" s="39"/>
      <c r="K34" s="40"/>
      <c r="L34" s="41"/>
      <c r="M34" s="3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3"/>
      <c r="B35" s="23"/>
      <c r="C35" s="24"/>
      <c r="D35" s="23"/>
      <c r="E35" s="26"/>
      <c r="F35" s="26"/>
      <c r="G35" s="26"/>
      <c r="H35" s="24"/>
      <c r="I35" s="38"/>
      <c r="J35" s="39"/>
      <c r="K35" s="40"/>
      <c r="L35" s="41"/>
      <c r="M35" s="3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3"/>
      <c r="B36" s="23"/>
      <c r="C36" s="24"/>
      <c r="D36" s="23"/>
      <c r="E36" s="26"/>
      <c r="F36" s="26"/>
      <c r="G36" s="26"/>
      <c r="H36" s="24"/>
      <c r="I36" s="38"/>
      <c r="J36" s="29"/>
      <c r="K36" s="30"/>
      <c r="L36" s="31"/>
      <c r="M36" s="4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3"/>
      <c r="B37" s="23"/>
      <c r="C37" s="24"/>
      <c r="D37" s="23"/>
      <c r="E37" s="26"/>
      <c r="F37" s="26"/>
      <c r="G37" s="26"/>
      <c r="H37" s="24"/>
      <c r="I37" s="38"/>
      <c r="J37" s="29"/>
      <c r="K37" s="30"/>
      <c r="L37" s="31"/>
      <c r="M37" s="4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3"/>
      <c r="B38" s="23"/>
      <c r="C38" s="24"/>
      <c r="D38" s="23"/>
      <c r="E38" s="26"/>
      <c r="F38" s="26"/>
      <c r="G38" s="26"/>
      <c r="H38" s="24"/>
      <c r="I38" s="38"/>
      <c r="J38" s="29"/>
      <c r="K38" s="30"/>
      <c r="L38" s="31"/>
      <c r="M38" s="4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3"/>
      <c r="B39" s="23"/>
      <c r="C39" s="24"/>
      <c r="D39" s="23"/>
      <c r="E39" s="26"/>
      <c r="F39" s="26"/>
      <c r="G39" s="26"/>
      <c r="H39" s="24"/>
      <c r="I39" s="38"/>
      <c r="J39" s="29"/>
      <c r="K39" s="30"/>
      <c r="L39" s="31"/>
      <c r="M39" s="4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3"/>
      <c r="B40" s="23"/>
      <c r="C40" s="24"/>
      <c r="D40" s="23"/>
      <c r="E40" s="26"/>
      <c r="F40" s="26"/>
      <c r="G40" s="26"/>
      <c r="H40" s="24"/>
      <c r="I40" s="38"/>
      <c r="J40" s="29"/>
      <c r="K40" s="30"/>
      <c r="L40" s="31"/>
      <c r="M40" s="4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3"/>
      <c r="B41" s="23"/>
      <c r="C41" s="24"/>
      <c r="D41" s="23"/>
      <c r="E41" s="26"/>
      <c r="F41" s="26"/>
      <c r="G41" s="26"/>
      <c r="H41" s="24"/>
      <c r="I41" s="38"/>
      <c r="J41" s="29"/>
      <c r="K41" s="30"/>
      <c r="L41" s="31"/>
      <c r="M41" s="4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3"/>
      <c r="B42" s="23"/>
      <c r="C42" s="24"/>
      <c r="D42" s="23"/>
      <c r="E42" s="35"/>
      <c r="F42" s="35"/>
      <c r="G42" s="35"/>
      <c r="H42" s="24"/>
      <c r="I42" s="38"/>
      <c r="J42" s="29"/>
      <c r="K42" s="30"/>
      <c r="L42" s="31"/>
      <c r="M42" s="4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3"/>
      <c r="B43" s="23"/>
      <c r="C43" s="24"/>
      <c r="D43" s="23"/>
      <c r="E43" s="26"/>
      <c r="F43" s="26"/>
      <c r="G43" s="26"/>
      <c r="H43" s="24"/>
      <c r="I43" s="38"/>
      <c r="J43" s="29"/>
      <c r="K43" s="30"/>
      <c r="L43" s="31"/>
      <c r="M43" s="4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3"/>
      <c r="B44" s="23"/>
      <c r="C44" s="24"/>
      <c r="D44" s="23"/>
      <c r="E44" s="26"/>
      <c r="F44" s="26"/>
      <c r="G44" s="26"/>
      <c r="H44" s="24"/>
      <c r="I44" s="38"/>
      <c r="J44" s="29"/>
      <c r="K44" s="30"/>
      <c r="L44" s="31"/>
      <c r="M44" s="4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3"/>
      <c r="B45" s="23"/>
      <c r="C45" s="24"/>
      <c r="D45" s="23"/>
      <c r="E45" s="26"/>
      <c r="F45" s="26"/>
      <c r="G45" s="26"/>
      <c r="H45" s="24"/>
      <c r="I45" s="38"/>
      <c r="J45" s="29"/>
      <c r="K45" s="30"/>
      <c r="L45" s="31"/>
      <c r="M45" s="4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3"/>
      <c r="B46" s="23"/>
      <c r="C46" s="24"/>
      <c r="D46" s="23"/>
      <c r="E46" s="26"/>
      <c r="F46" s="26"/>
      <c r="G46" s="26"/>
      <c r="H46" s="24"/>
      <c r="I46" s="28"/>
      <c r="J46" s="29"/>
      <c r="K46" s="30"/>
      <c r="L46" s="31"/>
      <c r="M46" s="4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3"/>
      <c r="B47" s="23"/>
      <c r="C47" s="24"/>
      <c r="D47" s="23"/>
      <c r="E47" s="26"/>
      <c r="F47" s="26"/>
      <c r="G47" s="26"/>
      <c r="H47" s="24"/>
      <c r="I47" s="28"/>
      <c r="J47" s="29"/>
      <c r="K47" s="30"/>
      <c r="L47" s="31"/>
      <c r="M47" s="4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3"/>
      <c r="B48" s="23"/>
      <c r="C48" s="24"/>
      <c r="D48" s="23"/>
      <c r="E48" s="26"/>
      <c r="F48" s="26"/>
      <c r="G48" s="26"/>
      <c r="H48" s="24"/>
      <c r="I48" s="28"/>
      <c r="J48" s="29"/>
      <c r="K48" s="30"/>
      <c r="L48" s="31"/>
      <c r="M48" s="4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3"/>
      <c r="B49" s="23"/>
      <c r="C49" s="24"/>
      <c r="D49" s="23"/>
      <c r="E49" s="26"/>
      <c r="F49" s="26"/>
      <c r="G49" s="26"/>
      <c r="H49" s="24"/>
      <c r="I49" s="28"/>
      <c r="J49" s="29"/>
      <c r="K49" s="30"/>
      <c r="L49" s="31"/>
      <c r="M49" s="4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3"/>
      <c r="B50" s="23"/>
      <c r="C50" s="24"/>
      <c r="D50" s="23"/>
      <c r="E50" s="26"/>
      <c r="F50" s="26"/>
      <c r="G50" s="26"/>
      <c r="H50" s="24"/>
      <c r="I50" s="38"/>
      <c r="J50" s="29"/>
      <c r="K50" s="30"/>
      <c r="L50" s="31"/>
      <c r="M50" s="4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3"/>
      <c r="B51" s="23"/>
      <c r="C51" s="24"/>
      <c r="D51" s="23"/>
      <c r="E51" s="26"/>
      <c r="F51" s="26"/>
      <c r="G51" s="26"/>
      <c r="H51" s="24"/>
      <c r="I51" s="38"/>
      <c r="J51" s="29"/>
      <c r="K51" s="30"/>
      <c r="L51" s="31"/>
      <c r="M51" s="4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3"/>
      <c r="B52" s="23"/>
      <c r="C52" s="24"/>
      <c r="D52" s="23"/>
      <c r="E52" s="26"/>
      <c r="F52" s="26"/>
      <c r="G52" s="26"/>
      <c r="H52" s="24"/>
      <c r="I52" s="38"/>
      <c r="J52" s="29"/>
      <c r="K52" s="30"/>
      <c r="L52" s="31"/>
      <c r="M52" s="4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3"/>
      <c r="B53" s="23"/>
      <c r="C53" s="24"/>
      <c r="D53" s="23"/>
      <c r="E53" s="26"/>
      <c r="F53" s="26"/>
      <c r="G53" s="26"/>
      <c r="H53" s="24"/>
      <c r="I53" s="38"/>
      <c r="J53" s="29"/>
      <c r="K53" s="30"/>
      <c r="L53" s="31"/>
      <c r="M53" s="4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3"/>
      <c r="B54" s="23"/>
      <c r="C54" s="24"/>
      <c r="D54" s="23"/>
      <c r="E54" s="26"/>
      <c r="F54" s="26"/>
      <c r="G54" s="26"/>
      <c r="H54" s="24"/>
      <c r="I54" s="38"/>
      <c r="J54" s="29"/>
      <c r="K54" s="30"/>
      <c r="L54" s="31"/>
      <c r="M54" s="4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3"/>
      <c r="B55" s="23"/>
      <c r="C55" s="24"/>
      <c r="D55" s="23"/>
      <c r="E55" s="26"/>
      <c r="F55" s="26"/>
      <c r="G55" s="26"/>
      <c r="H55" s="24"/>
      <c r="I55" s="38"/>
      <c r="J55" s="29"/>
      <c r="K55" s="30"/>
      <c r="L55" s="31"/>
      <c r="M55" s="4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3"/>
      <c r="B56" s="23"/>
      <c r="C56" s="24"/>
      <c r="D56" s="23"/>
      <c r="E56" s="26"/>
      <c r="F56" s="26"/>
      <c r="G56" s="26"/>
      <c r="H56" s="24"/>
      <c r="I56" s="38"/>
      <c r="J56" s="29"/>
      <c r="K56" s="30"/>
      <c r="L56" s="31"/>
      <c r="M56" s="4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3"/>
      <c r="B57" s="23"/>
      <c r="C57" s="24"/>
      <c r="D57" s="23"/>
      <c r="E57" s="26"/>
      <c r="F57" s="26"/>
      <c r="G57" s="26"/>
      <c r="H57" s="24"/>
      <c r="I57" s="38"/>
      <c r="J57" s="39"/>
      <c r="K57" s="40"/>
      <c r="L57" s="41"/>
      <c r="M57" s="35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3"/>
      <c r="B58" s="23"/>
      <c r="C58" s="24"/>
      <c r="D58" s="23"/>
      <c r="E58" s="26"/>
      <c r="F58" s="26"/>
      <c r="G58" s="26"/>
      <c r="H58" s="24"/>
      <c r="I58" s="38"/>
      <c r="J58" s="29"/>
      <c r="K58" s="30"/>
      <c r="L58" s="31"/>
      <c r="M58" s="4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3"/>
      <c r="B59" s="23"/>
      <c r="C59" s="24"/>
      <c r="D59" s="23"/>
      <c r="E59" s="26"/>
      <c r="F59" s="26"/>
      <c r="G59" s="26"/>
      <c r="H59" s="24"/>
      <c r="I59" s="38"/>
      <c r="J59" s="29"/>
      <c r="K59" s="30"/>
      <c r="L59" s="31"/>
      <c r="M59" s="4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3"/>
      <c r="B60" s="23"/>
      <c r="C60" s="24"/>
      <c r="D60" s="23"/>
      <c r="E60" s="26"/>
      <c r="F60" s="26"/>
      <c r="G60" s="26"/>
      <c r="H60" s="24"/>
      <c r="I60" s="38"/>
      <c r="J60" s="29"/>
      <c r="K60" s="30"/>
      <c r="L60" s="31"/>
      <c r="M60" s="4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3"/>
      <c r="B61" s="23"/>
      <c r="C61" s="24"/>
      <c r="D61" s="23"/>
      <c r="E61" s="26"/>
      <c r="F61" s="26"/>
      <c r="G61" s="26"/>
      <c r="H61" s="24"/>
      <c r="I61" s="38"/>
      <c r="J61" s="29"/>
      <c r="K61" s="30"/>
      <c r="L61" s="31"/>
      <c r="M61" s="4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3"/>
      <c r="B62" s="23"/>
      <c r="C62" s="24"/>
      <c r="D62" s="23"/>
      <c r="E62" s="26"/>
      <c r="F62" s="26"/>
      <c r="G62" s="26"/>
      <c r="H62" s="24"/>
      <c r="I62" s="38"/>
      <c r="J62" s="29"/>
      <c r="K62" s="30"/>
      <c r="L62" s="31"/>
      <c r="M62" s="4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3"/>
      <c r="B63" s="23"/>
      <c r="C63" s="24"/>
      <c r="D63" s="23"/>
      <c r="E63" s="26"/>
      <c r="F63" s="26"/>
      <c r="G63" s="26"/>
      <c r="H63" s="24"/>
      <c r="I63" s="38"/>
      <c r="J63" s="29"/>
      <c r="K63" s="30"/>
      <c r="L63" s="31"/>
      <c r="M63" s="4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3"/>
      <c r="B64" s="23"/>
      <c r="C64" s="24"/>
      <c r="D64" s="23"/>
      <c r="E64" s="26"/>
      <c r="F64" s="26"/>
      <c r="G64" s="26"/>
      <c r="H64" s="24"/>
      <c r="I64" s="38"/>
      <c r="J64" s="29"/>
      <c r="K64" s="30"/>
      <c r="L64" s="31"/>
      <c r="M64" s="4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3"/>
      <c r="B65" s="23"/>
      <c r="C65" s="24"/>
      <c r="D65" s="23"/>
      <c r="E65" s="26"/>
      <c r="F65" s="26"/>
      <c r="G65" s="26"/>
      <c r="H65" s="24"/>
      <c r="I65" s="38"/>
      <c r="J65" s="29"/>
      <c r="K65" s="30"/>
      <c r="L65" s="31"/>
      <c r="M65" s="4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3"/>
      <c r="B66" s="23"/>
      <c r="C66" s="24"/>
      <c r="D66" s="23"/>
      <c r="E66" s="26"/>
      <c r="F66" s="26"/>
      <c r="G66" s="26"/>
      <c r="H66" s="24"/>
      <c r="I66" s="38"/>
      <c r="J66" s="29"/>
      <c r="K66" s="30"/>
      <c r="L66" s="31"/>
      <c r="M66" s="4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3"/>
      <c r="B67" s="23"/>
      <c r="C67" s="24"/>
      <c r="D67" s="23"/>
      <c r="E67" s="26"/>
      <c r="F67" s="26"/>
      <c r="G67" s="26"/>
      <c r="H67" s="24"/>
      <c r="I67" s="38"/>
      <c r="J67" s="29"/>
      <c r="K67" s="30"/>
      <c r="L67" s="31"/>
      <c r="M67" s="4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3"/>
      <c r="B68" s="23"/>
      <c r="C68" s="24"/>
      <c r="D68" s="23"/>
      <c r="E68" s="26"/>
      <c r="F68" s="26"/>
      <c r="G68" s="26"/>
      <c r="H68" s="24"/>
      <c r="I68" s="38"/>
      <c r="J68" s="29"/>
      <c r="K68" s="30"/>
      <c r="L68" s="31"/>
      <c r="M68" s="4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3"/>
      <c r="B69" s="23"/>
      <c r="C69" s="24"/>
      <c r="D69" s="23"/>
      <c r="E69" s="26"/>
      <c r="F69" s="26"/>
      <c r="G69" s="26"/>
      <c r="H69" s="24"/>
      <c r="I69" s="38"/>
      <c r="J69" s="29"/>
      <c r="K69" s="30"/>
      <c r="L69" s="31"/>
      <c r="M69" s="4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3"/>
      <c r="B70" s="23"/>
      <c r="C70" s="24"/>
      <c r="D70" s="23"/>
      <c r="E70" s="26"/>
      <c r="F70" s="26"/>
      <c r="G70" s="26"/>
      <c r="H70" s="24"/>
      <c r="I70" s="38"/>
      <c r="J70" s="29"/>
      <c r="K70" s="30"/>
      <c r="L70" s="31"/>
      <c r="M70" s="4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3"/>
      <c r="B71" s="23"/>
      <c r="C71" s="24"/>
      <c r="D71" s="23"/>
      <c r="E71" s="26"/>
      <c r="F71" s="26"/>
      <c r="G71" s="26"/>
      <c r="H71" s="24"/>
      <c r="I71" s="38"/>
      <c r="J71" s="29"/>
      <c r="K71" s="30"/>
      <c r="L71" s="31"/>
      <c r="M71" s="4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3"/>
      <c r="B72" s="23"/>
      <c r="C72" s="24"/>
      <c r="D72" s="23"/>
      <c r="E72" s="26"/>
      <c r="F72" s="26"/>
      <c r="G72" s="26"/>
      <c r="H72" s="24"/>
      <c r="I72" s="38"/>
      <c r="J72" s="29"/>
      <c r="K72" s="30"/>
      <c r="L72" s="31"/>
      <c r="M72" s="4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3"/>
      <c r="B73" s="23"/>
      <c r="C73" s="24"/>
      <c r="D73" s="23"/>
      <c r="E73" s="26"/>
      <c r="F73" s="26"/>
      <c r="G73" s="26"/>
      <c r="H73" s="24"/>
      <c r="I73" s="38"/>
      <c r="J73" s="39"/>
      <c r="K73" s="40"/>
      <c r="L73" s="41"/>
      <c r="M73" s="35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3"/>
      <c r="B74" s="23"/>
      <c r="C74" s="24"/>
      <c r="D74" s="23"/>
      <c r="E74" s="26"/>
      <c r="F74" s="26"/>
      <c r="G74" s="26"/>
      <c r="H74" s="24"/>
      <c r="I74" s="38"/>
      <c r="J74" s="29"/>
      <c r="K74" s="30"/>
      <c r="L74" s="31"/>
      <c r="M74" s="4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3"/>
      <c r="B75" s="23"/>
      <c r="C75" s="24"/>
      <c r="D75" s="23"/>
      <c r="E75" s="26"/>
      <c r="F75" s="26"/>
      <c r="G75" s="26"/>
      <c r="H75" s="24"/>
      <c r="I75" s="38"/>
      <c r="J75" s="29"/>
      <c r="K75" s="30"/>
      <c r="L75" s="31"/>
      <c r="M75" s="4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3"/>
      <c r="B76" s="23"/>
      <c r="C76" s="24"/>
      <c r="D76" s="23"/>
      <c r="E76" s="26"/>
      <c r="F76" s="26"/>
      <c r="G76" s="26"/>
      <c r="H76" s="24"/>
      <c r="I76" s="38"/>
      <c r="J76" s="29"/>
      <c r="K76" s="30"/>
      <c r="L76" s="31"/>
      <c r="M76" s="4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3"/>
      <c r="B77" s="23"/>
      <c r="C77" s="24"/>
      <c r="D77" s="23"/>
      <c r="E77" s="26"/>
      <c r="F77" s="26"/>
      <c r="G77" s="26"/>
      <c r="H77" s="24"/>
      <c r="I77" s="38"/>
      <c r="J77" s="29"/>
      <c r="K77" s="30"/>
      <c r="L77" s="31"/>
      <c r="M77" s="4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3"/>
      <c r="B78" s="23"/>
      <c r="C78" s="24"/>
      <c r="D78" s="23"/>
      <c r="E78" s="26"/>
      <c r="F78" s="26"/>
      <c r="G78" s="26"/>
      <c r="H78" s="24"/>
      <c r="I78" s="38"/>
      <c r="J78" s="29"/>
      <c r="K78" s="30"/>
      <c r="L78" s="31"/>
      <c r="M78" s="4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3"/>
      <c r="B79" s="23"/>
      <c r="C79" s="24"/>
      <c r="D79" s="23"/>
      <c r="E79" s="26"/>
      <c r="F79" s="26"/>
      <c r="G79" s="26"/>
      <c r="H79" s="24"/>
      <c r="I79" s="38"/>
      <c r="J79" s="29"/>
      <c r="K79" s="30"/>
      <c r="L79" s="31"/>
      <c r="M79" s="4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3"/>
      <c r="B80" s="23"/>
      <c r="C80" s="24"/>
      <c r="D80" s="23"/>
      <c r="E80" s="26"/>
      <c r="F80" s="26"/>
      <c r="G80" s="26"/>
      <c r="H80" s="24"/>
      <c r="I80" s="38"/>
      <c r="J80" s="39"/>
      <c r="K80" s="40"/>
      <c r="L80" s="41"/>
      <c r="M80" s="35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3"/>
      <c r="B81" s="23"/>
      <c r="C81" s="24"/>
      <c r="D81" s="23"/>
      <c r="E81" s="26"/>
      <c r="F81" s="26"/>
      <c r="G81" s="26"/>
      <c r="H81" s="24"/>
      <c r="I81" s="38"/>
      <c r="J81" s="29"/>
      <c r="K81" s="30"/>
      <c r="L81" s="31"/>
      <c r="M81" s="4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3"/>
      <c r="B82" s="23"/>
      <c r="C82" s="24"/>
      <c r="D82" s="23"/>
      <c r="E82" s="26"/>
      <c r="F82" s="26"/>
      <c r="G82" s="26"/>
      <c r="H82" s="24"/>
      <c r="I82" s="38"/>
      <c r="J82" s="29"/>
      <c r="K82" s="30"/>
      <c r="L82" s="31"/>
      <c r="M82" s="4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3"/>
      <c r="B83" s="23"/>
      <c r="C83" s="24"/>
      <c r="D83" s="23"/>
      <c r="E83" s="26"/>
      <c r="F83" s="26"/>
      <c r="G83" s="26"/>
      <c r="H83" s="24"/>
      <c r="I83" s="38"/>
      <c r="J83" s="39"/>
      <c r="K83" s="40"/>
      <c r="L83" s="41"/>
      <c r="M83" s="35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3"/>
      <c r="B84" s="23"/>
      <c r="C84" s="24"/>
      <c r="D84" s="23"/>
      <c r="E84" s="26"/>
      <c r="F84" s="26"/>
      <c r="G84" s="26"/>
      <c r="H84" s="24"/>
      <c r="I84" s="38"/>
      <c r="J84" s="39"/>
      <c r="K84" s="40"/>
      <c r="L84" s="41"/>
      <c r="M84" s="35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3"/>
      <c r="B85" s="23"/>
      <c r="C85" s="24"/>
      <c r="D85" s="23"/>
      <c r="E85" s="26"/>
      <c r="F85" s="26"/>
      <c r="G85" s="26"/>
      <c r="H85" s="24"/>
      <c r="I85" s="38"/>
      <c r="J85" s="39"/>
      <c r="K85" s="40"/>
      <c r="L85" s="41"/>
      <c r="M85" s="35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3"/>
      <c r="B86" s="23"/>
      <c r="C86" s="24"/>
      <c r="D86" s="23"/>
      <c r="E86" s="26"/>
      <c r="F86" s="26"/>
      <c r="G86" s="26"/>
      <c r="H86" s="24"/>
      <c r="I86" s="38"/>
      <c r="J86" s="39"/>
      <c r="K86" s="40"/>
      <c r="L86" s="41"/>
      <c r="M86" s="35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3"/>
      <c r="B87" s="23"/>
      <c r="C87" s="24"/>
      <c r="D87" s="23"/>
      <c r="E87" s="26"/>
      <c r="F87" s="26"/>
      <c r="G87" s="26"/>
      <c r="H87" s="24"/>
      <c r="I87" s="38"/>
      <c r="J87" s="39"/>
      <c r="K87" s="40"/>
      <c r="L87" s="41"/>
      <c r="M87" s="35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3"/>
      <c r="B88" s="23"/>
      <c r="C88" s="24"/>
      <c r="D88" s="23"/>
      <c r="E88" s="26"/>
      <c r="F88" s="26"/>
      <c r="G88" s="26"/>
      <c r="H88" s="24"/>
      <c r="I88" s="38"/>
      <c r="J88" s="39"/>
      <c r="K88" s="40"/>
      <c r="L88" s="41"/>
      <c r="M88" s="35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3"/>
      <c r="B89" s="23"/>
      <c r="C89" s="24"/>
      <c r="D89" s="23"/>
      <c r="E89" s="26"/>
      <c r="F89" s="26"/>
      <c r="G89" s="26"/>
      <c r="H89" s="24"/>
      <c r="I89" s="38"/>
      <c r="J89" s="39"/>
      <c r="K89" s="40"/>
      <c r="L89" s="41"/>
      <c r="M89" s="35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3"/>
      <c r="B90" s="23"/>
      <c r="C90" s="24"/>
      <c r="D90" s="23"/>
      <c r="E90" s="26"/>
      <c r="F90" s="26"/>
      <c r="G90" s="26"/>
      <c r="H90" s="24"/>
      <c r="I90" s="38"/>
      <c r="J90" s="39"/>
      <c r="K90" s="40"/>
      <c r="L90" s="41"/>
      <c r="M90" s="35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3"/>
      <c r="B91" s="23"/>
      <c r="C91" s="24"/>
      <c r="D91" s="23"/>
      <c r="E91" s="26"/>
      <c r="F91" s="26"/>
      <c r="G91" s="26"/>
      <c r="H91" s="24"/>
      <c r="I91" s="38"/>
      <c r="J91" s="39"/>
      <c r="K91" s="40"/>
      <c r="L91" s="41"/>
      <c r="M91" s="35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3"/>
      <c r="B92" s="23"/>
      <c r="C92" s="24"/>
      <c r="D92" s="23"/>
      <c r="E92" s="26"/>
      <c r="F92" s="26"/>
      <c r="G92" s="26"/>
      <c r="H92" s="24"/>
      <c r="I92" s="38"/>
      <c r="J92" s="39"/>
      <c r="K92" s="40"/>
      <c r="L92" s="41"/>
      <c r="M92" s="35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3"/>
      <c r="B93" s="23"/>
      <c r="C93" s="24"/>
      <c r="D93" s="23"/>
      <c r="E93" s="26"/>
      <c r="F93" s="26"/>
      <c r="G93" s="26"/>
      <c r="H93" s="24"/>
      <c r="I93" s="38"/>
      <c r="J93" s="39"/>
      <c r="K93" s="40"/>
      <c r="L93" s="41"/>
      <c r="M93" s="35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3"/>
      <c r="B94" s="23"/>
      <c r="C94" s="24"/>
      <c r="D94" s="23"/>
      <c r="E94" s="26"/>
      <c r="F94" s="26"/>
      <c r="G94" s="26"/>
      <c r="H94" s="24"/>
      <c r="I94" s="38"/>
      <c r="J94" s="39"/>
      <c r="K94" s="40"/>
      <c r="L94" s="41"/>
      <c r="M94" s="35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3"/>
      <c r="B95" s="23"/>
      <c r="C95" s="24"/>
      <c r="D95" s="23"/>
      <c r="E95" s="26"/>
      <c r="F95" s="26"/>
      <c r="G95" s="26"/>
      <c r="H95" s="24"/>
      <c r="I95" s="38"/>
      <c r="J95" s="39"/>
      <c r="K95" s="40"/>
      <c r="L95" s="41"/>
      <c r="M95" s="35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2"/>
      <c r="B96" s="1"/>
      <c r="C96" s="43"/>
      <c r="D96" s="44"/>
      <c r="E96" s="45"/>
      <c r="F96" s="2"/>
      <c r="G96" s="2"/>
      <c r="H96" s="2"/>
      <c r="I96" s="46"/>
      <c r="J96" s="47"/>
      <c r="K96" s="40"/>
      <c r="L96" s="41"/>
      <c r="M96" s="35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/>
      <c r="B97" s="1"/>
      <c r="C97" s="48"/>
      <c r="D97" s="49"/>
      <c r="E97" s="50"/>
      <c r="F97" s="2"/>
      <c r="G97" s="2"/>
      <c r="H97" s="2"/>
      <c r="I97" s="46"/>
      <c r="J97" s="46"/>
      <c r="K97" s="46"/>
      <c r="L97" s="46"/>
      <c r="M97" s="51">
        <f>SUM(M7:M96)</f>
        <v>650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/>
      <c r="B98" s="52"/>
      <c r="C98" s="43"/>
      <c r="D98" s="2"/>
      <c r="E98" s="2"/>
      <c r="F98" s="2"/>
      <c r="G98" s="2"/>
      <c r="H98" s="2"/>
      <c r="I98" s="46"/>
      <c r="J98" s="46"/>
      <c r="K98" s="46"/>
      <c r="L98" s="46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43"/>
      <c r="D99" s="2"/>
      <c r="E99" s="2"/>
      <c r="F99" s="2"/>
      <c r="G99" s="2"/>
      <c r="H99" s="2"/>
      <c r="I99" s="53"/>
      <c r="J99" s="46"/>
      <c r="K99" s="46"/>
      <c r="L99" s="46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2"/>
      <c r="D100" s="2"/>
      <c r="E100" s="2"/>
      <c r="F100" s="2"/>
      <c r="G100" s="2"/>
      <c r="H100" s="2"/>
      <c r="I100" s="46"/>
      <c r="J100" s="53"/>
      <c r="K100" s="53"/>
      <c r="L100" s="53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2"/>
      <c r="D101" s="2"/>
      <c r="E101" s="2"/>
      <c r="F101" s="2"/>
      <c r="G101" s="2"/>
      <c r="H101" s="2"/>
      <c r="I101" s="46"/>
      <c r="J101" s="46"/>
      <c r="K101" s="46"/>
      <c r="L101" s="46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2"/>
      <c r="D102" s="2"/>
      <c r="E102" s="2"/>
      <c r="F102" s="2"/>
      <c r="G102" s="2"/>
      <c r="H102" s="2"/>
      <c r="I102" s="46"/>
      <c r="J102" s="46"/>
      <c r="K102" s="46"/>
      <c r="L102" s="46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2"/>
      <c r="D103" s="2"/>
      <c r="E103" s="2"/>
      <c r="F103" s="2"/>
      <c r="G103" s="2"/>
      <c r="H103" s="2"/>
      <c r="I103" s="46"/>
      <c r="J103" s="46"/>
      <c r="K103" s="46"/>
      <c r="L103" s="46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2"/>
      <c r="D104" s="2"/>
      <c r="E104" s="2"/>
      <c r="F104" s="2"/>
      <c r="G104" s="2"/>
      <c r="H104" s="2"/>
      <c r="I104" s="46"/>
      <c r="J104" s="46"/>
      <c r="K104" s="46"/>
      <c r="L104" s="46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2"/>
      <c r="D105" s="2"/>
      <c r="E105" s="2"/>
      <c r="F105" s="2"/>
      <c r="G105" s="2"/>
      <c r="H105" s="2"/>
      <c r="I105" s="17" t="s">
        <v>11</v>
      </c>
      <c r="J105" s="46"/>
      <c r="K105" s="46"/>
      <c r="L105" s="46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2"/>
      <c r="D106" s="2"/>
      <c r="E106" s="2"/>
      <c r="F106" s="2"/>
      <c r="G106" s="2"/>
      <c r="H106" s="2"/>
      <c r="I106" s="54">
        <f>SUM(I7:I96)</f>
        <v>600</v>
      </c>
      <c r="J106" s="55" t="s">
        <v>12</v>
      </c>
      <c r="K106" s="56"/>
      <c r="L106" s="57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2"/>
      <c r="D107" s="2"/>
      <c r="E107" s="2"/>
      <c r="F107" s="2"/>
      <c r="G107" s="2"/>
      <c r="H107" s="2"/>
      <c r="I107" s="58">
        <f>SUM(I106*2%)</f>
        <v>12</v>
      </c>
      <c r="J107" s="59">
        <f>SUM(J7:J96)</f>
        <v>0</v>
      </c>
      <c r="K107" s="60" t="s">
        <v>18</v>
      </c>
      <c r="L107" s="57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61"/>
      <c r="J108" s="54">
        <f>SUM(J107*2%)</f>
        <v>0</v>
      </c>
      <c r="K108" s="54">
        <f>SUM(K7:K96)</f>
        <v>550</v>
      </c>
      <c r="L108" s="62" t="s">
        <v>14</v>
      </c>
      <c r="M108" s="3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61"/>
      <c r="J109" s="63"/>
      <c r="K109" s="58">
        <f>SUM(K108*2%)</f>
        <v>11</v>
      </c>
      <c r="L109" s="127">
        <v>100.0</v>
      </c>
      <c r="M109" s="65" t="s">
        <v>19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61"/>
      <c r="J110" s="61"/>
      <c r="K110" s="61"/>
      <c r="L110" s="58">
        <f>SUM(L109*2%)</f>
        <v>2</v>
      </c>
      <c r="M110" s="66">
        <f>SUM(M97)</f>
        <v>650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61"/>
      <c r="J111" s="61"/>
      <c r="K111" s="61"/>
      <c r="L111" s="6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61"/>
      <c r="J112" s="61"/>
      <c r="K112" s="61"/>
      <c r="L112" s="6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61"/>
      <c r="J113" s="61"/>
      <c r="K113" s="61"/>
      <c r="L113" s="6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61"/>
      <c r="J114" s="61"/>
      <c r="K114" s="61"/>
      <c r="L114" s="6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61"/>
      <c r="J115" s="61"/>
      <c r="K115" s="61"/>
      <c r="L115" s="6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61"/>
      <c r="J116" s="61"/>
      <c r="K116" s="61"/>
      <c r="L116" s="6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61"/>
      <c r="J117" s="61"/>
      <c r="K117" s="61"/>
      <c r="L117" s="6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61"/>
      <c r="J118" s="61"/>
      <c r="K118" s="61"/>
      <c r="L118" s="6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61"/>
      <c r="J119" s="61"/>
      <c r="K119" s="61"/>
      <c r="L119" s="6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61"/>
      <c r="J120" s="61"/>
      <c r="K120" s="61"/>
      <c r="L120" s="6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61"/>
      <c r="J121" s="61"/>
      <c r="K121" s="61"/>
      <c r="L121" s="6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61"/>
      <c r="J122" s="61"/>
      <c r="K122" s="61"/>
      <c r="L122" s="6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61"/>
      <c r="J123" s="61"/>
      <c r="K123" s="61"/>
      <c r="L123" s="6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61"/>
      <c r="J124" s="61"/>
      <c r="K124" s="61"/>
      <c r="L124" s="6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61"/>
      <c r="J125" s="61"/>
      <c r="K125" s="61"/>
      <c r="L125" s="6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61"/>
      <c r="J126" s="61"/>
      <c r="K126" s="61"/>
      <c r="L126" s="6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61"/>
      <c r="J127" s="61"/>
      <c r="K127" s="61"/>
      <c r="L127" s="6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61"/>
      <c r="J128" s="61"/>
      <c r="K128" s="61"/>
      <c r="L128" s="6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61"/>
      <c r="J129" s="61"/>
      <c r="K129" s="61"/>
      <c r="L129" s="6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61"/>
      <c r="J130" s="61"/>
      <c r="K130" s="61"/>
      <c r="L130" s="6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61"/>
      <c r="J131" s="61"/>
      <c r="K131" s="61"/>
      <c r="L131" s="6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61"/>
      <c r="J132" s="61"/>
      <c r="K132" s="61"/>
      <c r="L132" s="6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61"/>
      <c r="J133" s="61"/>
      <c r="K133" s="61"/>
      <c r="L133" s="6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61"/>
      <c r="J134" s="61"/>
      <c r="K134" s="61"/>
      <c r="L134" s="6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61"/>
      <c r="J135" s="61"/>
      <c r="K135" s="61"/>
      <c r="L135" s="6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61"/>
      <c r="J136" s="61"/>
      <c r="K136" s="61"/>
      <c r="L136" s="6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61"/>
      <c r="J137" s="61"/>
      <c r="K137" s="61"/>
      <c r="L137" s="6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61"/>
      <c r="J138" s="61"/>
      <c r="K138" s="61"/>
      <c r="L138" s="6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61"/>
      <c r="J139" s="61"/>
      <c r="K139" s="61"/>
      <c r="L139" s="6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61"/>
      <c r="J140" s="61"/>
      <c r="K140" s="61"/>
      <c r="L140" s="6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61"/>
      <c r="J141" s="61"/>
      <c r="K141" s="61"/>
      <c r="L141" s="6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61"/>
      <c r="J142" s="61"/>
      <c r="K142" s="61"/>
      <c r="L142" s="6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61"/>
      <c r="J143" s="61"/>
      <c r="K143" s="61"/>
      <c r="L143" s="6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61"/>
      <c r="J144" s="61"/>
      <c r="K144" s="61"/>
      <c r="L144" s="6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61"/>
      <c r="J145" s="61"/>
      <c r="K145" s="61"/>
      <c r="L145" s="6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61"/>
      <c r="J146" s="61"/>
      <c r="K146" s="61"/>
      <c r="L146" s="6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61"/>
      <c r="J147" s="61"/>
      <c r="K147" s="61"/>
      <c r="L147" s="6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61"/>
      <c r="J148" s="61"/>
      <c r="K148" s="61"/>
      <c r="L148" s="6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61"/>
      <c r="J149" s="61"/>
      <c r="K149" s="61"/>
      <c r="L149" s="6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61"/>
      <c r="J150" s="61"/>
      <c r="K150" s="61"/>
      <c r="L150" s="6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61"/>
      <c r="J151" s="61"/>
      <c r="K151" s="61"/>
      <c r="L151" s="6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61"/>
      <c r="J152" s="61"/>
      <c r="K152" s="61"/>
      <c r="L152" s="6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61"/>
      <c r="J153" s="61"/>
      <c r="K153" s="61"/>
      <c r="L153" s="6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61"/>
      <c r="J154" s="61"/>
      <c r="K154" s="61"/>
      <c r="L154" s="6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61"/>
      <c r="J155" s="61"/>
      <c r="K155" s="61"/>
      <c r="L155" s="6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61"/>
      <c r="J156" s="61"/>
      <c r="K156" s="61"/>
      <c r="L156" s="6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61"/>
      <c r="J157" s="61"/>
      <c r="K157" s="61"/>
      <c r="L157" s="6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61"/>
      <c r="J158" s="61"/>
      <c r="K158" s="61"/>
      <c r="L158" s="6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61"/>
      <c r="J159" s="61"/>
      <c r="K159" s="61"/>
      <c r="L159" s="6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61"/>
      <c r="J160" s="61"/>
      <c r="K160" s="61"/>
      <c r="L160" s="6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61"/>
      <c r="J161" s="61"/>
      <c r="K161" s="61"/>
      <c r="L161" s="6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61"/>
      <c r="J162" s="61"/>
      <c r="K162" s="61"/>
      <c r="L162" s="6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61"/>
      <c r="J163" s="61"/>
      <c r="K163" s="61"/>
      <c r="L163" s="6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61"/>
      <c r="J164" s="61"/>
      <c r="K164" s="61"/>
      <c r="L164" s="6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61"/>
      <c r="J165" s="61"/>
      <c r="K165" s="61"/>
      <c r="L165" s="6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61"/>
      <c r="J166" s="61"/>
      <c r="K166" s="61"/>
      <c r="L166" s="6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61"/>
      <c r="J167" s="61"/>
      <c r="K167" s="61"/>
      <c r="L167" s="6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61"/>
      <c r="J168" s="61"/>
      <c r="K168" s="61"/>
      <c r="L168" s="6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61"/>
      <c r="J169" s="61"/>
      <c r="K169" s="61"/>
      <c r="L169" s="6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61"/>
      <c r="J170" s="61"/>
      <c r="K170" s="61"/>
      <c r="L170" s="6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61"/>
      <c r="J171" s="61"/>
      <c r="K171" s="61"/>
      <c r="L171" s="6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61"/>
      <c r="J172" s="61"/>
      <c r="K172" s="61"/>
      <c r="L172" s="6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61"/>
      <c r="J173" s="61"/>
      <c r="K173" s="61"/>
      <c r="L173" s="6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61"/>
      <c r="J174" s="61"/>
      <c r="K174" s="61"/>
      <c r="L174" s="6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61"/>
      <c r="J175" s="61"/>
      <c r="K175" s="61"/>
      <c r="L175" s="6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61"/>
      <c r="J176" s="61"/>
      <c r="K176" s="61"/>
      <c r="L176" s="6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61"/>
      <c r="J177" s="61"/>
      <c r="K177" s="61"/>
      <c r="L177" s="6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61"/>
      <c r="J178" s="61"/>
      <c r="K178" s="61"/>
      <c r="L178" s="6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61"/>
      <c r="J179" s="61"/>
      <c r="K179" s="61"/>
      <c r="L179" s="6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61"/>
      <c r="J180" s="61"/>
      <c r="K180" s="61"/>
      <c r="L180" s="6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61"/>
      <c r="J181" s="61"/>
      <c r="K181" s="61"/>
      <c r="L181" s="6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61"/>
      <c r="J182" s="61"/>
      <c r="K182" s="61"/>
      <c r="L182" s="6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61"/>
      <c r="J183" s="61"/>
      <c r="K183" s="61"/>
      <c r="L183" s="6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61"/>
      <c r="J184" s="61"/>
      <c r="K184" s="61"/>
      <c r="L184" s="6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61"/>
      <c r="J185" s="61"/>
      <c r="K185" s="61"/>
      <c r="L185" s="6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61"/>
      <c r="J186" s="61"/>
      <c r="K186" s="61"/>
      <c r="L186" s="6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61"/>
      <c r="J187" s="61"/>
      <c r="K187" s="61"/>
      <c r="L187" s="6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61"/>
      <c r="J188" s="61"/>
      <c r="K188" s="61"/>
      <c r="L188" s="6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61"/>
      <c r="J189" s="61"/>
      <c r="K189" s="61"/>
      <c r="L189" s="6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61"/>
      <c r="J190" s="61"/>
      <c r="K190" s="61"/>
      <c r="L190" s="6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61"/>
      <c r="J191" s="61"/>
      <c r="K191" s="61"/>
      <c r="L191" s="6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61"/>
      <c r="J192" s="61"/>
      <c r="K192" s="61"/>
      <c r="L192" s="6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61"/>
      <c r="J193" s="61"/>
      <c r="K193" s="61"/>
      <c r="L193" s="6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61"/>
      <c r="J194" s="61"/>
      <c r="K194" s="61"/>
      <c r="L194" s="6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61"/>
      <c r="J195" s="61"/>
      <c r="K195" s="61"/>
      <c r="L195" s="6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61"/>
      <c r="J196" s="61"/>
      <c r="K196" s="61"/>
      <c r="L196" s="6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61"/>
      <c r="J197" s="61"/>
      <c r="K197" s="61"/>
      <c r="L197" s="6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61"/>
      <c r="J198" s="61"/>
      <c r="K198" s="61"/>
      <c r="L198" s="6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61"/>
      <c r="J199" s="61"/>
      <c r="K199" s="61"/>
      <c r="L199" s="6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61"/>
      <c r="J200" s="61"/>
      <c r="K200" s="61"/>
      <c r="L200" s="6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61"/>
      <c r="J201" s="61"/>
      <c r="K201" s="61"/>
      <c r="L201" s="6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61"/>
      <c r="J202" s="61"/>
      <c r="K202" s="61"/>
      <c r="L202" s="6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61"/>
      <c r="J203" s="61"/>
      <c r="K203" s="61"/>
      <c r="L203" s="6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61"/>
      <c r="J204" s="61"/>
      <c r="K204" s="61"/>
      <c r="L204" s="6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61"/>
      <c r="J205" s="61"/>
      <c r="K205" s="61"/>
      <c r="L205" s="6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61"/>
      <c r="J206" s="61"/>
      <c r="K206" s="61"/>
      <c r="L206" s="6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61"/>
      <c r="J207" s="61"/>
      <c r="K207" s="61"/>
      <c r="L207" s="6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61"/>
      <c r="J208" s="61"/>
      <c r="K208" s="61"/>
      <c r="L208" s="6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61"/>
      <c r="J209" s="61"/>
      <c r="K209" s="61"/>
      <c r="L209" s="6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61"/>
      <c r="J210" s="61"/>
      <c r="K210" s="61"/>
      <c r="L210" s="6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61"/>
      <c r="J211" s="61"/>
      <c r="K211" s="61"/>
      <c r="L211" s="6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61"/>
      <c r="J212" s="61"/>
      <c r="K212" s="61"/>
      <c r="L212" s="6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61"/>
      <c r="J213" s="61"/>
      <c r="K213" s="61"/>
      <c r="L213" s="6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61"/>
      <c r="J214" s="61"/>
      <c r="K214" s="61"/>
      <c r="L214" s="6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61"/>
      <c r="J215" s="61"/>
      <c r="K215" s="61"/>
      <c r="L215" s="6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61"/>
      <c r="J216" s="61"/>
      <c r="K216" s="61"/>
      <c r="L216" s="6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61"/>
      <c r="J217" s="61"/>
      <c r="K217" s="61"/>
      <c r="L217" s="6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61"/>
      <c r="J218" s="61"/>
      <c r="K218" s="61"/>
      <c r="L218" s="6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61"/>
      <c r="J219" s="61"/>
      <c r="K219" s="61"/>
      <c r="L219" s="6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61"/>
      <c r="J220" s="61"/>
      <c r="K220" s="61"/>
      <c r="L220" s="6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61"/>
      <c r="J221" s="61"/>
      <c r="K221" s="61"/>
      <c r="L221" s="6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61"/>
      <c r="J222" s="61"/>
      <c r="K222" s="61"/>
      <c r="L222" s="6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61"/>
      <c r="J223" s="61"/>
      <c r="K223" s="61"/>
      <c r="L223" s="6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61"/>
      <c r="J224" s="61"/>
      <c r="K224" s="61"/>
      <c r="L224" s="6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61"/>
      <c r="J225" s="61"/>
      <c r="K225" s="61"/>
      <c r="L225" s="6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61"/>
      <c r="J226" s="61"/>
      <c r="K226" s="61"/>
      <c r="L226" s="6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61"/>
      <c r="J227" s="61"/>
      <c r="K227" s="61"/>
      <c r="L227" s="6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61"/>
      <c r="J228" s="61"/>
      <c r="K228" s="61"/>
      <c r="L228" s="6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61"/>
      <c r="J229" s="61"/>
      <c r="K229" s="61"/>
      <c r="L229" s="6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61"/>
      <c r="J230" s="61"/>
      <c r="K230" s="61"/>
      <c r="L230" s="6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61"/>
      <c r="J231" s="61"/>
      <c r="K231" s="61"/>
      <c r="L231" s="6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61"/>
      <c r="J232" s="61"/>
      <c r="K232" s="61"/>
      <c r="L232" s="6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61"/>
      <c r="J233" s="61"/>
      <c r="K233" s="61"/>
      <c r="L233" s="6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61"/>
      <c r="J234" s="61"/>
      <c r="K234" s="61"/>
      <c r="L234" s="6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61"/>
      <c r="J235" s="61"/>
      <c r="K235" s="61"/>
      <c r="L235" s="6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61"/>
      <c r="J236" s="61"/>
      <c r="K236" s="61"/>
      <c r="L236" s="6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61"/>
      <c r="J237" s="61"/>
      <c r="K237" s="61"/>
      <c r="L237" s="6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61"/>
      <c r="J238" s="61"/>
      <c r="K238" s="61"/>
      <c r="L238" s="6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61"/>
      <c r="J239" s="61"/>
      <c r="K239" s="61"/>
      <c r="L239" s="6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61"/>
      <c r="J240" s="61"/>
      <c r="K240" s="61"/>
      <c r="L240" s="6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61"/>
      <c r="J241" s="61"/>
      <c r="K241" s="61"/>
      <c r="L241" s="6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61"/>
      <c r="J242" s="61"/>
      <c r="K242" s="61"/>
      <c r="L242" s="6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61"/>
      <c r="J243" s="61"/>
      <c r="K243" s="61"/>
      <c r="L243" s="6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61"/>
      <c r="J244" s="61"/>
      <c r="K244" s="61"/>
      <c r="L244" s="6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61"/>
      <c r="J245" s="61"/>
      <c r="K245" s="61"/>
      <c r="L245" s="6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61"/>
      <c r="J246" s="61"/>
      <c r="K246" s="61"/>
      <c r="L246" s="6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61"/>
      <c r="J247" s="61"/>
      <c r="K247" s="61"/>
      <c r="L247" s="6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61"/>
      <c r="J248" s="61"/>
      <c r="K248" s="61"/>
      <c r="L248" s="6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61"/>
      <c r="J249" s="61"/>
      <c r="K249" s="61"/>
      <c r="L249" s="6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61"/>
      <c r="J250" s="61"/>
      <c r="K250" s="61"/>
      <c r="L250" s="6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61"/>
      <c r="J251" s="61"/>
      <c r="K251" s="61"/>
      <c r="L251" s="6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61"/>
      <c r="J252" s="61"/>
      <c r="K252" s="61"/>
      <c r="L252" s="6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61"/>
      <c r="J253" s="61"/>
      <c r="K253" s="61"/>
      <c r="L253" s="6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61"/>
      <c r="J254" s="61"/>
      <c r="K254" s="61"/>
      <c r="L254" s="6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61"/>
      <c r="J255" s="61"/>
      <c r="K255" s="61"/>
      <c r="L255" s="6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61"/>
      <c r="J256" s="61"/>
      <c r="K256" s="61"/>
      <c r="L256" s="6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61"/>
      <c r="J257" s="61"/>
      <c r="K257" s="61"/>
      <c r="L257" s="6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61"/>
      <c r="J258" s="61"/>
      <c r="K258" s="61"/>
      <c r="L258" s="6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61"/>
      <c r="J259" s="61"/>
      <c r="K259" s="61"/>
      <c r="L259" s="6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61"/>
      <c r="J260" s="61"/>
      <c r="K260" s="61"/>
      <c r="L260" s="6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61"/>
      <c r="J261" s="61"/>
      <c r="K261" s="61"/>
      <c r="L261" s="6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61"/>
      <c r="J262" s="61"/>
      <c r="K262" s="61"/>
      <c r="L262" s="6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61"/>
      <c r="J263" s="61"/>
      <c r="K263" s="61"/>
      <c r="L263" s="6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61"/>
      <c r="J264" s="61"/>
      <c r="K264" s="61"/>
      <c r="L264" s="6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61"/>
      <c r="J265" s="61"/>
      <c r="K265" s="61"/>
      <c r="L265" s="6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61"/>
      <c r="J266" s="61"/>
      <c r="K266" s="61"/>
      <c r="L266" s="6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61"/>
      <c r="J267" s="61"/>
      <c r="K267" s="61"/>
      <c r="L267" s="6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61"/>
      <c r="J268" s="61"/>
      <c r="K268" s="61"/>
      <c r="L268" s="6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61"/>
      <c r="J269" s="61"/>
      <c r="K269" s="61"/>
      <c r="L269" s="6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61"/>
      <c r="J270" s="61"/>
      <c r="K270" s="61"/>
      <c r="L270" s="6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61"/>
      <c r="J271" s="61"/>
      <c r="K271" s="61"/>
      <c r="L271" s="6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61"/>
      <c r="J272" s="61"/>
      <c r="K272" s="61"/>
      <c r="L272" s="6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61"/>
      <c r="J273" s="61"/>
      <c r="K273" s="61"/>
      <c r="L273" s="6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61"/>
      <c r="J274" s="61"/>
      <c r="K274" s="61"/>
      <c r="L274" s="6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61"/>
      <c r="J275" s="61"/>
      <c r="K275" s="61"/>
      <c r="L275" s="6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61"/>
      <c r="J276" s="61"/>
      <c r="K276" s="61"/>
      <c r="L276" s="6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61"/>
      <c r="J277" s="61"/>
      <c r="K277" s="61"/>
      <c r="L277" s="6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61"/>
      <c r="J278" s="61"/>
      <c r="K278" s="61"/>
      <c r="L278" s="6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61"/>
      <c r="J279" s="61"/>
      <c r="K279" s="61"/>
      <c r="L279" s="6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61"/>
      <c r="J280" s="61"/>
      <c r="K280" s="61"/>
      <c r="L280" s="6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61"/>
      <c r="J281" s="61"/>
      <c r="K281" s="61"/>
      <c r="L281" s="6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61"/>
      <c r="J282" s="61"/>
      <c r="K282" s="61"/>
      <c r="L282" s="6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61"/>
      <c r="J283" s="61"/>
      <c r="K283" s="61"/>
      <c r="L283" s="6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61"/>
      <c r="J284" s="61"/>
      <c r="K284" s="61"/>
      <c r="L284" s="6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61"/>
      <c r="J285" s="61"/>
      <c r="K285" s="61"/>
      <c r="L285" s="6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61"/>
      <c r="J286" s="61"/>
      <c r="K286" s="61"/>
      <c r="L286" s="6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61"/>
      <c r="J287" s="61"/>
      <c r="K287" s="61"/>
      <c r="L287" s="6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61"/>
      <c r="J288" s="61"/>
      <c r="K288" s="61"/>
      <c r="L288" s="6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61"/>
      <c r="J289" s="61"/>
      <c r="K289" s="61"/>
      <c r="L289" s="6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61"/>
      <c r="J290" s="61"/>
      <c r="K290" s="61"/>
      <c r="L290" s="6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61"/>
      <c r="J291" s="61"/>
      <c r="K291" s="61"/>
      <c r="L291" s="6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61"/>
      <c r="J292" s="61"/>
      <c r="K292" s="61"/>
      <c r="L292" s="6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61"/>
      <c r="J293" s="61"/>
      <c r="K293" s="61"/>
      <c r="L293" s="6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61"/>
      <c r="J294" s="61"/>
      <c r="K294" s="61"/>
      <c r="L294" s="6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61"/>
      <c r="J295" s="61"/>
      <c r="K295" s="61"/>
      <c r="L295" s="6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61"/>
      <c r="J296" s="61"/>
      <c r="K296" s="61"/>
      <c r="L296" s="6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61"/>
      <c r="J297" s="61"/>
      <c r="K297" s="61"/>
      <c r="L297" s="6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61"/>
      <c r="J298" s="61"/>
      <c r="K298" s="61"/>
      <c r="L298" s="6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61"/>
      <c r="J299" s="61"/>
      <c r="K299" s="61"/>
      <c r="L299" s="6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61"/>
      <c r="J300" s="61"/>
      <c r="K300" s="61"/>
      <c r="L300" s="6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61"/>
      <c r="J301" s="61"/>
      <c r="K301" s="61"/>
      <c r="L301" s="6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61"/>
      <c r="J302" s="61"/>
      <c r="K302" s="61"/>
      <c r="L302" s="6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61"/>
      <c r="J303" s="61"/>
      <c r="K303" s="61"/>
      <c r="L303" s="6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61"/>
      <c r="J304" s="61"/>
      <c r="K304" s="61"/>
      <c r="L304" s="6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61"/>
      <c r="J305" s="61"/>
      <c r="K305" s="61"/>
      <c r="L305" s="6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61"/>
      <c r="J306" s="61"/>
      <c r="K306" s="61"/>
      <c r="L306" s="6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61"/>
      <c r="J307" s="61"/>
      <c r="K307" s="61"/>
      <c r="L307" s="6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61"/>
      <c r="J308" s="61"/>
      <c r="K308" s="61"/>
      <c r="L308" s="6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61"/>
      <c r="J309" s="61"/>
      <c r="K309" s="61"/>
      <c r="L309" s="6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61"/>
      <c r="J310" s="61"/>
      <c r="K310" s="61"/>
      <c r="L310" s="6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61"/>
      <c r="J311" s="61"/>
      <c r="K311" s="61"/>
      <c r="L311" s="6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61"/>
      <c r="J312" s="61"/>
      <c r="K312" s="61"/>
      <c r="L312" s="6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61"/>
      <c r="J313" s="61"/>
      <c r="K313" s="61"/>
      <c r="L313" s="6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61"/>
      <c r="J314" s="61"/>
      <c r="K314" s="61"/>
      <c r="L314" s="6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61"/>
      <c r="J315" s="61"/>
      <c r="K315" s="61"/>
      <c r="L315" s="6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61"/>
      <c r="J316" s="61"/>
      <c r="K316" s="61"/>
      <c r="L316" s="6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61"/>
      <c r="J317" s="61"/>
      <c r="K317" s="61"/>
      <c r="L317" s="6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61"/>
      <c r="J318" s="61"/>
      <c r="K318" s="61"/>
      <c r="L318" s="6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61"/>
      <c r="J319" s="61"/>
      <c r="K319" s="61"/>
      <c r="L319" s="6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61"/>
      <c r="J320" s="61"/>
      <c r="K320" s="61"/>
      <c r="L320" s="6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61"/>
      <c r="J321" s="61"/>
      <c r="K321" s="61"/>
      <c r="L321" s="6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61"/>
      <c r="J322" s="61"/>
      <c r="K322" s="61"/>
      <c r="L322" s="6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61"/>
      <c r="J323" s="61"/>
      <c r="K323" s="61"/>
      <c r="L323" s="6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61"/>
      <c r="J324" s="61"/>
      <c r="K324" s="61"/>
      <c r="L324" s="6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61"/>
      <c r="J325" s="61"/>
      <c r="K325" s="61"/>
      <c r="L325" s="6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61"/>
      <c r="J326" s="61"/>
      <c r="K326" s="61"/>
      <c r="L326" s="6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61"/>
      <c r="J327" s="61"/>
      <c r="K327" s="61"/>
      <c r="L327" s="6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61"/>
      <c r="J328" s="61"/>
      <c r="K328" s="61"/>
      <c r="L328" s="6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61"/>
      <c r="J329" s="61"/>
      <c r="K329" s="61"/>
      <c r="L329" s="6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61"/>
      <c r="J330" s="61"/>
      <c r="K330" s="61"/>
      <c r="L330" s="6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61"/>
      <c r="J331" s="61"/>
      <c r="K331" s="61"/>
      <c r="L331" s="6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61"/>
      <c r="J332" s="61"/>
      <c r="K332" s="61"/>
      <c r="L332" s="6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61"/>
      <c r="J333" s="61"/>
      <c r="K333" s="61"/>
      <c r="L333" s="6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61"/>
      <c r="J334" s="61"/>
      <c r="K334" s="61"/>
      <c r="L334" s="6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61"/>
      <c r="J335" s="61"/>
      <c r="K335" s="61"/>
      <c r="L335" s="6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61"/>
      <c r="J336" s="61"/>
      <c r="K336" s="61"/>
      <c r="L336" s="6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61"/>
      <c r="J337" s="61"/>
      <c r="K337" s="61"/>
      <c r="L337" s="6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61"/>
      <c r="J338" s="61"/>
      <c r="K338" s="61"/>
      <c r="L338" s="6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61"/>
      <c r="J339" s="61"/>
      <c r="K339" s="61"/>
      <c r="L339" s="6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61"/>
      <c r="J340" s="61"/>
      <c r="K340" s="61"/>
      <c r="L340" s="6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61"/>
      <c r="J341" s="61"/>
      <c r="K341" s="61"/>
      <c r="L341" s="6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61"/>
      <c r="J342" s="61"/>
      <c r="K342" s="61"/>
      <c r="L342" s="6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61"/>
      <c r="J343" s="61"/>
      <c r="K343" s="61"/>
      <c r="L343" s="6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61"/>
      <c r="J344" s="61"/>
      <c r="K344" s="61"/>
      <c r="L344" s="6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61"/>
      <c r="J345" s="61"/>
      <c r="K345" s="61"/>
      <c r="L345" s="6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61"/>
      <c r="J346" s="61"/>
      <c r="K346" s="61"/>
      <c r="L346" s="6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61"/>
      <c r="J347" s="61"/>
      <c r="K347" s="61"/>
      <c r="L347" s="6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61"/>
      <c r="J348" s="61"/>
      <c r="K348" s="61"/>
      <c r="L348" s="6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61"/>
      <c r="J349" s="61"/>
      <c r="K349" s="61"/>
      <c r="L349" s="6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61"/>
      <c r="J350" s="61"/>
      <c r="K350" s="61"/>
      <c r="L350" s="6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61"/>
      <c r="J351" s="61"/>
      <c r="K351" s="61"/>
      <c r="L351" s="6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61"/>
      <c r="J352" s="61"/>
      <c r="K352" s="61"/>
      <c r="L352" s="6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61"/>
      <c r="J353" s="61"/>
      <c r="K353" s="61"/>
      <c r="L353" s="6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61"/>
      <c r="J354" s="61"/>
      <c r="K354" s="61"/>
      <c r="L354" s="6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61"/>
      <c r="J355" s="61"/>
      <c r="K355" s="61"/>
      <c r="L355" s="6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61"/>
      <c r="J356" s="61"/>
      <c r="K356" s="61"/>
      <c r="L356" s="6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61"/>
      <c r="J357" s="61"/>
      <c r="K357" s="61"/>
      <c r="L357" s="6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61"/>
      <c r="J358" s="61"/>
      <c r="K358" s="61"/>
      <c r="L358" s="6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61"/>
      <c r="J359" s="61"/>
      <c r="K359" s="61"/>
      <c r="L359" s="6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61"/>
      <c r="J360" s="61"/>
      <c r="K360" s="61"/>
      <c r="L360" s="6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61"/>
      <c r="J361" s="61"/>
      <c r="K361" s="61"/>
      <c r="L361" s="6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61"/>
      <c r="J362" s="61"/>
      <c r="K362" s="61"/>
      <c r="L362" s="6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61"/>
      <c r="J363" s="61"/>
      <c r="K363" s="61"/>
      <c r="L363" s="6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61"/>
      <c r="J364" s="61"/>
      <c r="K364" s="61"/>
      <c r="L364" s="6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61"/>
      <c r="J365" s="61"/>
      <c r="K365" s="61"/>
      <c r="L365" s="6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61"/>
      <c r="J366" s="61"/>
      <c r="K366" s="61"/>
      <c r="L366" s="6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61"/>
      <c r="J367" s="61"/>
      <c r="K367" s="61"/>
      <c r="L367" s="6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61"/>
      <c r="J368" s="61"/>
      <c r="K368" s="61"/>
      <c r="L368" s="6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61"/>
      <c r="J369" s="61"/>
      <c r="K369" s="61"/>
      <c r="L369" s="6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61"/>
      <c r="J370" s="61"/>
      <c r="K370" s="61"/>
      <c r="L370" s="6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61"/>
      <c r="J371" s="61"/>
      <c r="K371" s="61"/>
      <c r="L371" s="6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61"/>
      <c r="J372" s="61"/>
      <c r="K372" s="61"/>
      <c r="L372" s="6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61"/>
      <c r="J373" s="61"/>
      <c r="K373" s="61"/>
      <c r="L373" s="6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61"/>
      <c r="J374" s="61"/>
      <c r="K374" s="61"/>
      <c r="L374" s="6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61"/>
      <c r="J375" s="61"/>
      <c r="K375" s="61"/>
      <c r="L375" s="6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61"/>
      <c r="J376" s="61"/>
      <c r="K376" s="61"/>
      <c r="L376" s="6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61"/>
      <c r="J377" s="61"/>
      <c r="K377" s="61"/>
      <c r="L377" s="6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61"/>
      <c r="J378" s="61"/>
      <c r="K378" s="61"/>
      <c r="L378" s="6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61"/>
      <c r="J379" s="61"/>
      <c r="K379" s="61"/>
      <c r="L379" s="6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61"/>
      <c r="J380" s="61"/>
      <c r="K380" s="61"/>
      <c r="L380" s="6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61"/>
      <c r="J381" s="61"/>
      <c r="K381" s="61"/>
      <c r="L381" s="6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61"/>
      <c r="J382" s="61"/>
      <c r="K382" s="61"/>
      <c r="L382" s="6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61"/>
      <c r="J383" s="61"/>
      <c r="K383" s="61"/>
      <c r="L383" s="6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61"/>
      <c r="J384" s="61"/>
      <c r="K384" s="61"/>
      <c r="L384" s="6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61"/>
      <c r="J385" s="61"/>
      <c r="K385" s="61"/>
      <c r="L385" s="6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61"/>
      <c r="J386" s="61"/>
      <c r="K386" s="61"/>
      <c r="L386" s="6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61"/>
      <c r="J387" s="61"/>
      <c r="K387" s="61"/>
      <c r="L387" s="6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61"/>
      <c r="J388" s="61"/>
      <c r="K388" s="61"/>
      <c r="L388" s="6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61"/>
      <c r="J389" s="61"/>
      <c r="K389" s="61"/>
      <c r="L389" s="6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61"/>
      <c r="J390" s="61"/>
      <c r="K390" s="61"/>
      <c r="L390" s="6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61"/>
      <c r="J391" s="61"/>
      <c r="K391" s="61"/>
      <c r="L391" s="6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61"/>
      <c r="J392" s="61"/>
      <c r="K392" s="61"/>
      <c r="L392" s="6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61"/>
      <c r="J393" s="61"/>
      <c r="K393" s="61"/>
      <c r="L393" s="6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61"/>
      <c r="J394" s="61"/>
      <c r="K394" s="61"/>
      <c r="L394" s="6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61"/>
      <c r="J395" s="61"/>
      <c r="K395" s="61"/>
      <c r="L395" s="6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61"/>
      <c r="J396" s="61"/>
      <c r="K396" s="61"/>
      <c r="L396" s="6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61"/>
      <c r="J397" s="61"/>
      <c r="K397" s="61"/>
      <c r="L397" s="6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61"/>
      <c r="J398" s="61"/>
      <c r="K398" s="61"/>
      <c r="L398" s="6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61"/>
      <c r="J399" s="61"/>
      <c r="K399" s="61"/>
      <c r="L399" s="6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61"/>
      <c r="J400" s="61"/>
      <c r="K400" s="61"/>
      <c r="L400" s="6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61"/>
      <c r="J401" s="61"/>
      <c r="K401" s="61"/>
      <c r="L401" s="6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61"/>
      <c r="J402" s="61"/>
      <c r="K402" s="61"/>
      <c r="L402" s="6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61"/>
      <c r="J403" s="61"/>
      <c r="K403" s="61"/>
      <c r="L403" s="6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61"/>
      <c r="J404" s="61"/>
      <c r="K404" s="61"/>
      <c r="L404" s="6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61"/>
      <c r="J405" s="61"/>
      <c r="K405" s="61"/>
      <c r="L405" s="6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61"/>
      <c r="J406" s="61"/>
      <c r="K406" s="61"/>
      <c r="L406" s="6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61"/>
      <c r="J407" s="61"/>
      <c r="K407" s="61"/>
      <c r="L407" s="6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61"/>
      <c r="J408" s="61"/>
      <c r="K408" s="61"/>
      <c r="L408" s="6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61"/>
      <c r="J409" s="61"/>
      <c r="K409" s="61"/>
      <c r="L409" s="6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61"/>
      <c r="J410" s="61"/>
      <c r="K410" s="61"/>
      <c r="L410" s="6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61"/>
      <c r="J411" s="61"/>
      <c r="K411" s="61"/>
      <c r="L411" s="6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61"/>
      <c r="J412" s="61"/>
      <c r="K412" s="61"/>
      <c r="L412" s="6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61"/>
      <c r="J413" s="61"/>
      <c r="K413" s="61"/>
      <c r="L413" s="6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61"/>
      <c r="J414" s="61"/>
      <c r="K414" s="61"/>
      <c r="L414" s="6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61"/>
      <c r="J415" s="61"/>
      <c r="K415" s="61"/>
      <c r="L415" s="6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61"/>
      <c r="J416" s="61"/>
      <c r="K416" s="61"/>
      <c r="L416" s="6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61"/>
      <c r="J417" s="61"/>
      <c r="K417" s="61"/>
      <c r="L417" s="6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61"/>
      <c r="J418" s="61"/>
      <c r="K418" s="61"/>
      <c r="L418" s="6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61"/>
      <c r="J419" s="61"/>
      <c r="K419" s="61"/>
      <c r="L419" s="6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61"/>
      <c r="J420" s="61"/>
      <c r="K420" s="61"/>
      <c r="L420" s="6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61"/>
      <c r="J421" s="61"/>
      <c r="K421" s="61"/>
      <c r="L421" s="6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61"/>
      <c r="J422" s="61"/>
      <c r="K422" s="61"/>
      <c r="L422" s="6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61"/>
      <c r="J423" s="61"/>
      <c r="K423" s="61"/>
      <c r="L423" s="6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61"/>
      <c r="J424" s="61"/>
      <c r="K424" s="61"/>
      <c r="L424" s="6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61"/>
      <c r="J425" s="61"/>
      <c r="K425" s="61"/>
      <c r="L425" s="6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61"/>
      <c r="J426" s="61"/>
      <c r="K426" s="61"/>
      <c r="L426" s="6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61"/>
      <c r="J427" s="61"/>
      <c r="K427" s="61"/>
      <c r="L427" s="6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61"/>
      <c r="J428" s="61"/>
      <c r="K428" s="61"/>
      <c r="L428" s="6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61"/>
      <c r="J429" s="61"/>
      <c r="K429" s="61"/>
      <c r="L429" s="6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61"/>
      <c r="J430" s="61"/>
      <c r="K430" s="61"/>
      <c r="L430" s="6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61"/>
      <c r="J431" s="61"/>
      <c r="K431" s="61"/>
      <c r="L431" s="6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61"/>
      <c r="J432" s="61"/>
      <c r="K432" s="61"/>
      <c r="L432" s="6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61"/>
      <c r="J433" s="61"/>
      <c r="K433" s="61"/>
      <c r="L433" s="6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61"/>
      <c r="J434" s="61"/>
      <c r="K434" s="61"/>
      <c r="L434" s="6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61"/>
      <c r="J435" s="61"/>
      <c r="K435" s="61"/>
      <c r="L435" s="6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61"/>
      <c r="J436" s="61"/>
      <c r="K436" s="61"/>
      <c r="L436" s="6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61"/>
      <c r="J437" s="61"/>
      <c r="K437" s="61"/>
      <c r="L437" s="6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61"/>
      <c r="J438" s="61"/>
      <c r="K438" s="61"/>
      <c r="L438" s="6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61"/>
      <c r="J439" s="61"/>
      <c r="K439" s="61"/>
      <c r="L439" s="6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61"/>
      <c r="J440" s="61"/>
      <c r="K440" s="61"/>
      <c r="L440" s="6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61"/>
      <c r="J441" s="61"/>
      <c r="K441" s="61"/>
      <c r="L441" s="6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61"/>
      <c r="J442" s="61"/>
      <c r="K442" s="61"/>
      <c r="L442" s="6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61"/>
      <c r="J443" s="61"/>
      <c r="K443" s="61"/>
      <c r="L443" s="6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61"/>
      <c r="J444" s="61"/>
      <c r="K444" s="61"/>
      <c r="L444" s="6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61"/>
      <c r="J445" s="61"/>
      <c r="K445" s="61"/>
      <c r="L445" s="6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61"/>
      <c r="J446" s="61"/>
      <c r="K446" s="61"/>
      <c r="L446" s="6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61"/>
      <c r="J447" s="61"/>
      <c r="K447" s="61"/>
      <c r="L447" s="6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61"/>
      <c r="J448" s="61"/>
      <c r="K448" s="61"/>
      <c r="L448" s="6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61"/>
      <c r="J449" s="61"/>
      <c r="K449" s="61"/>
      <c r="L449" s="6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61"/>
      <c r="J450" s="61"/>
      <c r="K450" s="61"/>
      <c r="L450" s="6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61"/>
      <c r="J451" s="61"/>
      <c r="K451" s="61"/>
      <c r="L451" s="6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61"/>
      <c r="J452" s="61"/>
      <c r="K452" s="61"/>
      <c r="L452" s="6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61"/>
      <c r="J453" s="61"/>
      <c r="K453" s="61"/>
      <c r="L453" s="6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61"/>
      <c r="J454" s="61"/>
      <c r="K454" s="61"/>
      <c r="L454" s="6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61"/>
      <c r="J455" s="61"/>
      <c r="K455" s="61"/>
      <c r="L455" s="6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61"/>
      <c r="J456" s="61"/>
      <c r="K456" s="61"/>
      <c r="L456" s="6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61"/>
      <c r="J457" s="61"/>
      <c r="K457" s="61"/>
      <c r="L457" s="6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61"/>
      <c r="J458" s="61"/>
      <c r="K458" s="61"/>
      <c r="L458" s="6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61"/>
      <c r="J459" s="61"/>
      <c r="K459" s="61"/>
      <c r="L459" s="6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61"/>
      <c r="J460" s="61"/>
      <c r="K460" s="61"/>
      <c r="L460" s="6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61"/>
      <c r="J461" s="61"/>
      <c r="K461" s="61"/>
      <c r="L461" s="6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61"/>
      <c r="J462" s="61"/>
      <c r="K462" s="61"/>
      <c r="L462" s="6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61"/>
      <c r="J463" s="61"/>
      <c r="K463" s="61"/>
      <c r="L463" s="6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61"/>
      <c r="J464" s="61"/>
      <c r="K464" s="61"/>
      <c r="L464" s="6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61"/>
      <c r="J465" s="61"/>
      <c r="K465" s="61"/>
      <c r="L465" s="6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61"/>
      <c r="J466" s="61"/>
      <c r="K466" s="61"/>
      <c r="L466" s="6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61"/>
      <c r="J467" s="61"/>
      <c r="K467" s="61"/>
      <c r="L467" s="6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61"/>
      <c r="J468" s="61"/>
      <c r="K468" s="61"/>
      <c r="L468" s="6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61"/>
      <c r="J469" s="61"/>
      <c r="K469" s="61"/>
      <c r="L469" s="6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61"/>
      <c r="J470" s="61"/>
      <c r="K470" s="61"/>
      <c r="L470" s="6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61"/>
      <c r="J471" s="61"/>
      <c r="K471" s="61"/>
      <c r="L471" s="6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61"/>
      <c r="J472" s="61"/>
      <c r="K472" s="61"/>
      <c r="L472" s="6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61"/>
      <c r="J473" s="61"/>
      <c r="K473" s="61"/>
      <c r="L473" s="6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61"/>
      <c r="J474" s="61"/>
      <c r="K474" s="61"/>
      <c r="L474" s="6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61"/>
      <c r="J475" s="61"/>
      <c r="K475" s="61"/>
      <c r="L475" s="6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61"/>
      <c r="J476" s="61"/>
      <c r="K476" s="61"/>
      <c r="L476" s="6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61"/>
      <c r="J477" s="61"/>
      <c r="K477" s="61"/>
      <c r="L477" s="6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61"/>
      <c r="J478" s="61"/>
      <c r="K478" s="61"/>
      <c r="L478" s="6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61"/>
      <c r="J479" s="61"/>
      <c r="K479" s="61"/>
      <c r="L479" s="6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61"/>
      <c r="J480" s="61"/>
      <c r="K480" s="61"/>
      <c r="L480" s="6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61"/>
      <c r="J481" s="61"/>
      <c r="K481" s="61"/>
      <c r="L481" s="6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61"/>
      <c r="J482" s="61"/>
      <c r="K482" s="61"/>
      <c r="L482" s="6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61"/>
      <c r="J483" s="61"/>
      <c r="K483" s="61"/>
      <c r="L483" s="6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61"/>
      <c r="J484" s="61"/>
      <c r="K484" s="61"/>
      <c r="L484" s="6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61"/>
      <c r="J485" s="61"/>
      <c r="K485" s="61"/>
      <c r="L485" s="6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61"/>
      <c r="J486" s="61"/>
      <c r="K486" s="61"/>
      <c r="L486" s="6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61"/>
      <c r="J487" s="61"/>
      <c r="K487" s="61"/>
      <c r="L487" s="6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61"/>
      <c r="J488" s="61"/>
      <c r="K488" s="61"/>
      <c r="L488" s="6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61"/>
      <c r="J489" s="61"/>
      <c r="K489" s="61"/>
      <c r="L489" s="6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61"/>
      <c r="J490" s="61"/>
      <c r="K490" s="61"/>
      <c r="L490" s="6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61"/>
      <c r="J491" s="61"/>
      <c r="K491" s="61"/>
      <c r="L491" s="6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61"/>
      <c r="J492" s="61"/>
      <c r="K492" s="61"/>
      <c r="L492" s="6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61"/>
      <c r="J493" s="61"/>
      <c r="K493" s="61"/>
      <c r="L493" s="6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61"/>
      <c r="J494" s="61"/>
      <c r="K494" s="61"/>
      <c r="L494" s="6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61"/>
      <c r="J495" s="61"/>
      <c r="K495" s="61"/>
      <c r="L495" s="6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61"/>
      <c r="J496" s="61"/>
      <c r="K496" s="61"/>
      <c r="L496" s="6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61"/>
      <c r="J497" s="61"/>
      <c r="K497" s="61"/>
      <c r="L497" s="6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61"/>
      <c r="J498" s="61"/>
      <c r="K498" s="61"/>
      <c r="L498" s="6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61"/>
      <c r="J499" s="61"/>
      <c r="K499" s="61"/>
      <c r="L499" s="6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61"/>
      <c r="J500" s="61"/>
      <c r="K500" s="61"/>
      <c r="L500" s="6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61"/>
      <c r="J501" s="61"/>
      <c r="K501" s="61"/>
      <c r="L501" s="6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61"/>
      <c r="J502" s="61"/>
      <c r="K502" s="61"/>
      <c r="L502" s="6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61"/>
      <c r="J503" s="61"/>
      <c r="K503" s="61"/>
      <c r="L503" s="6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61"/>
      <c r="J504" s="61"/>
      <c r="K504" s="61"/>
      <c r="L504" s="6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61"/>
      <c r="J505" s="61"/>
      <c r="K505" s="61"/>
      <c r="L505" s="6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61"/>
      <c r="J506" s="61"/>
      <c r="K506" s="61"/>
      <c r="L506" s="6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61"/>
      <c r="J507" s="61"/>
      <c r="K507" s="61"/>
      <c r="L507" s="6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61"/>
      <c r="J508" s="61"/>
      <c r="K508" s="61"/>
      <c r="L508" s="6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61"/>
      <c r="J509" s="61"/>
      <c r="K509" s="61"/>
      <c r="L509" s="6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61"/>
      <c r="J510" s="61"/>
      <c r="K510" s="61"/>
      <c r="L510" s="6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61"/>
      <c r="J511" s="61"/>
      <c r="K511" s="61"/>
      <c r="L511" s="6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61"/>
      <c r="J512" s="61"/>
      <c r="K512" s="61"/>
      <c r="L512" s="6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61"/>
      <c r="J513" s="61"/>
      <c r="K513" s="61"/>
      <c r="L513" s="6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61"/>
      <c r="J514" s="61"/>
      <c r="K514" s="61"/>
      <c r="L514" s="6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61"/>
      <c r="J515" s="61"/>
      <c r="K515" s="61"/>
      <c r="L515" s="6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61"/>
      <c r="J516" s="61"/>
      <c r="K516" s="61"/>
      <c r="L516" s="6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61"/>
      <c r="J517" s="61"/>
      <c r="K517" s="61"/>
      <c r="L517" s="6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61"/>
      <c r="J518" s="61"/>
      <c r="K518" s="61"/>
      <c r="L518" s="6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61"/>
      <c r="J519" s="61"/>
      <c r="K519" s="61"/>
      <c r="L519" s="6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61"/>
      <c r="J520" s="61"/>
      <c r="K520" s="61"/>
      <c r="L520" s="6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61"/>
      <c r="J521" s="61"/>
      <c r="K521" s="61"/>
      <c r="L521" s="6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61"/>
      <c r="J522" s="61"/>
      <c r="K522" s="61"/>
      <c r="L522" s="6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61"/>
      <c r="J523" s="61"/>
      <c r="K523" s="61"/>
      <c r="L523" s="6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61"/>
      <c r="J524" s="61"/>
      <c r="K524" s="61"/>
      <c r="L524" s="6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61"/>
      <c r="J525" s="61"/>
      <c r="K525" s="61"/>
      <c r="L525" s="6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61"/>
      <c r="J526" s="61"/>
      <c r="K526" s="61"/>
      <c r="L526" s="6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61"/>
      <c r="J527" s="61"/>
      <c r="K527" s="61"/>
      <c r="L527" s="6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61"/>
      <c r="J528" s="61"/>
      <c r="K528" s="61"/>
      <c r="L528" s="6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61"/>
      <c r="J529" s="61"/>
      <c r="K529" s="61"/>
      <c r="L529" s="6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61"/>
      <c r="J530" s="61"/>
      <c r="K530" s="61"/>
      <c r="L530" s="6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61"/>
      <c r="J531" s="61"/>
      <c r="K531" s="61"/>
      <c r="L531" s="6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61"/>
      <c r="J532" s="61"/>
      <c r="K532" s="61"/>
      <c r="L532" s="6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61"/>
      <c r="J533" s="61"/>
      <c r="K533" s="61"/>
      <c r="L533" s="6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61"/>
      <c r="J534" s="61"/>
      <c r="K534" s="61"/>
      <c r="L534" s="6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61"/>
      <c r="J535" s="61"/>
      <c r="K535" s="61"/>
      <c r="L535" s="6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61"/>
      <c r="J536" s="61"/>
      <c r="K536" s="61"/>
      <c r="L536" s="6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61"/>
      <c r="J537" s="61"/>
      <c r="K537" s="61"/>
      <c r="L537" s="6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61"/>
      <c r="J538" s="61"/>
      <c r="K538" s="61"/>
      <c r="L538" s="6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61"/>
      <c r="J539" s="61"/>
      <c r="K539" s="61"/>
      <c r="L539" s="6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61"/>
      <c r="J540" s="61"/>
      <c r="K540" s="61"/>
      <c r="L540" s="6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61"/>
      <c r="J541" s="61"/>
      <c r="K541" s="61"/>
      <c r="L541" s="6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61"/>
      <c r="J542" s="61"/>
      <c r="K542" s="61"/>
      <c r="L542" s="6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61"/>
      <c r="J543" s="61"/>
      <c r="K543" s="61"/>
      <c r="L543" s="6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61"/>
      <c r="J544" s="61"/>
      <c r="K544" s="61"/>
      <c r="L544" s="6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61"/>
      <c r="J545" s="61"/>
      <c r="K545" s="61"/>
      <c r="L545" s="6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61"/>
      <c r="J546" s="61"/>
      <c r="K546" s="61"/>
      <c r="L546" s="6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61"/>
      <c r="J547" s="61"/>
      <c r="K547" s="61"/>
      <c r="L547" s="6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61"/>
      <c r="J548" s="61"/>
      <c r="K548" s="61"/>
      <c r="L548" s="6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61"/>
      <c r="J549" s="61"/>
      <c r="K549" s="61"/>
      <c r="L549" s="6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61"/>
      <c r="J550" s="61"/>
      <c r="K550" s="61"/>
      <c r="L550" s="6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61"/>
      <c r="J551" s="61"/>
      <c r="K551" s="61"/>
      <c r="L551" s="6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61"/>
      <c r="J552" s="61"/>
      <c r="K552" s="61"/>
      <c r="L552" s="6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61"/>
      <c r="J553" s="61"/>
      <c r="K553" s="61"/>
      <c r="L553" s="6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61"/>
      <c r="J554" s="61"/>
      <c r="K554" s="61"/>
      <c r="L554" s="6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61"/>
      <c r="J555" s="61"/>
      <c r="K555" s="61"/>
      <c r="L555" s="6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61"/>
      <c r="J556" s="61"/>
      <c r="K556" s="61"/>
      <c r="L556" s="6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61"/>
      <c r="J557" s="61"/>
      <c r="K557" s="61"/>
      <c r="L557" s="6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61"/>
      <c r="J558" s="61"/>
      <c r="K558" s="61"/>
      <c r="L558" s="6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61"/>
      <c r="J559" s="61"/>
      <c r="K559" s="61"/>
      <c r="L559" s="6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61"/>
      <c r="J560" s="61"/>
      <c r="K560" s="61"/>
      <c r="L560" s="6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61"/>
      <c r="J561" s="61"/>
      <c r="K561" s="61"/>
      <c r="L561" s="6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61"/>
      <c r="J562" s="61"/>
      <c r="K562" s="61"/>
      <c r="L562" s="6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61"/>
      <c r="J563" s="61"/>
      <c r="K563" s="61"/>
      <c r="L563" s="6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61"/>
      <c r="J564" s="61"/>
      <c r="K564" s="61"/>
      <c r="L564" s="6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61"/>
      <c r="J565" s="61"/>
      <c r="K565" s="61"/>
      <c r="L565" s="6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61"/>
      <c r="J566" s="61"/>
      <c r="K566" s="61"/>
      <c r="L566" s="6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61"/>
      <c r="J567" s="61"/>
      <c r="K567" s="61"/>
      <c r="L567" s="6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61"/>
      <c r="J568" s="61"/>
      <c r="K568" s="61"/>
      <c r="L568" s="6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61"/>
      <c r="J569" s="61"/>
      <c r="K569" s="61"/>
      <c r="L569" s="6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61"/>
      <c r="J570" s="61"/>
      <c r="K570" s="61"/>
      <c r="L570" s="6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61"/>
      <c r="J571" s="61"/>
      <c r="K571" s="61"/>
      <c r="L571" s="6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61"/>
      <c r="J572" s="61"/>
      <c r="K572" s="61"/>
      <c r="L572" s="6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61"/>
      <c r="J573" s="61"/>
      <c r="K573" s="61"/>
      <c r="L573" s="6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61"/>
      <c r="J574" s="61"/>
      <c r="K574" s="61"/>
      <c r="L574" s="6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61"/>
      <c r="J575" s="61"/>
      <c r="K575" s="61"/>
      <c r="L575" s="6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61"/>
      <c r="J576" s="61"/>
      <c r="K576" s="61"/>
      <c r="L576" s="6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61"/>
      <c r="J577" s="61"/>
      <c r="K577" s="61"/>
      <c r="L577" s="6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61"/>
      <c r="J578" s="61"/>
      <c r="K578" s="61"/>
      <c r="L578" s="6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61"/>
      <c r="J579" s="61"/>
      <c r="K579" s="61"/>
      <c r="L579" s="6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61"/>
      <c r="J580" s="61"/>
      <c r="K580" s="61"/>
      <c r="L580" s="6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61"/>
      <c r="J581" s="61"/>
      <c r="K581" s="61"/>
      <c r="L581" s="6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61"/>
      <c r="J582" s="61"/>
      <c r="K582" s="61"/>
      <c r="L582" s="6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61"/>
      <c r="J583" s="61"/>
      <c r="K583" s="61"/>
      <c r="L583" s="6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61"/>
      <c r="J584" s="61"/>
      <c r="K584" s="61"/>
      <c r="L584" s="6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61"/>
      <c r="J585" s="61"/>
      <c r="K585" s="61"/>
      <c r="L585" s="6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61"/>
      <c r="J586" s="61"/>
      <c r="K586" s="61"/>
      <c r="L586" s="6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61"/>
      <c r="J587" s="61"/>
      <c r="K587" s="61"/>
      <c r="L587" s="6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61"/>
      <c r="J588" s="61"/>
      <c r="K588" s="61"/>
      <c r="L588" s="6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61"/>
      <c r="J589" s="61"/>
      <c r="K589" s="61"/>
      <c r="L589" s="6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61"/>
      <c r="J590" s="61"/>
      <c r="K590" s="61"/>
      <c r="L590" s="6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61"/>
      <c r="J591" s="61"/>
      <c r="K591" s="61"/>
      <c r="L591" s="6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61"/>
      <c r="J592" s="61"/>
      <c r="K592" s="61"/>
      <c r="L592" s="6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61"/>
      <c r="J593" s="61"/>
      <c r="K593" s="61"/>
      <c r="L593" s="6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61"/>
      <c r="J594" s="61"/>
      <c r="K594" s="61"/>
      <c r="L594" s="6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61"/>
      <c r="J595" s="61"/>
      <c r="K595" s="61"/>
      <c r="L595" s="6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61"/>
      <c r="J596" s="61"/>
      <c r="K596" s="61"/>
      <c r="L596" s="6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61"/>
      <c r="J597" s="61"/>
      <c r="K597" s="61"/>
      <c r="L597" s="6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61"/>
      <c r="J598" s="61"/>
      <c r="K598" s="61"/>
      <c r="L598" s="6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61"/>
      <c r="J599" s="61"/>
      <c r="K599" s="61"/>
      <c r="L599" s="6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61"/>
      <c r="J600" s="61"/>
      <c r="K600" s="61"/>
      <c r="L600" s="6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61"/>
      <c r="J601" s="61"/>
      <c r="K601" s="61"/>
      <c r="L601" s="6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61"/>
      <c r="J602" s="61"/>
      <c r="K602" s="61"/>
      <c r="L602" s="6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61"/>
      <c r="J603" s="61"/>
      <c r="K603" s="61"/>
      <c r="L603" s="6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61"/>
      <c r="J604" s="61"/>
      <c r="K604" s="61"/>
      <c r="L604" s="6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61"/>
      <c r="J605" s="61"/>
      <c r="K605" s="61"/>
      <c r="L605" s="6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61"/>
      <c r="J606" s="61"/>
      <c r="K606" s="61"/>
      <c r="L606" s="6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61"/>
      <c r="J607" s="61"/>
      <c r="K607" s="61"/>
      <c r="L607" s="6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61"/>
      <c r="J608" s="61"/>
      <c r="K608" s="61"/>
      <c r="L608" s="6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61"/>
      <c r="J609" s="61"/>
      <c r="K609" s="61"/>
      <c r="L609" s="6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61"/>
      <c r="J610" s="61"/>
      <c r="K610" s="61"/>
      <c r="L610" s="6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61"/>
      <c r="J611" s="61"/>
      <c r="K611" s="61"/>
      <c r="L611" s="6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61"/>
      <c r="J612" s="61"/>
      <c r="K612" s="61"/>
      <c r="L612" s="6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61"/>
      <c r="J613" s="61"/>
      <c r="K613" s="61"/>
      <c r="L613" s="6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61"/>
      <c r="J614" s="61"/>
      <c r="K614" s="61"/>
      <c r="L614" s="6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61"/>
      <c r="J615" s="61"/>
      <c r="K615" s="61"/>
      <c r="L615" s="6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61"/>
      <c r="J616" s="61"/>
      <c r="K616" s="61"/>
      <c r="L616" s="6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61"/>
      <c r="J617" s="61"/>
      <c r="K617" s="61"/>
      <c r="L617" s="6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61"/>
      <c r="J618" s="61"/>
      <c r="K618" s="61"/>
      <c r="L618" s="6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61"/>
      <c r="J619" s="61"/>
      <c r="K619" s="61"/>
      <c r="L619" s="6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61"/>
      <c r="J620" s="61"/>
      <c r="K620" s="61"/>
      <c r="L620" s="6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61"/>
      <c r="J621" s="61"/>
      <c r="K621" s="61"/>
      <c r="L621" s="6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61"/>
      <c r="J622" s="61"/>
      <c r="K622" s="61"/>
      <c r="L622" s="6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61"/>
      <c r="J623" s="61"/>
      <c r="K623" s="61"/>
      <c r="L623" s="6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61"/>
      <c r="J624" s="61"/>
      <c r="K624" s="61"/>
      <c r="L624" s="6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61"/>
      <c r="J625" s="61"/>
      <c r="K625" s="61"/>
      <c r="L625" s="6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61"/>
      <c r="J626" s="61"/>
      <c r="K626" s="61"/>
      <c r="L626" s="6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61"/>
      <c r="J627" s="61"/>
      <c r="K627" s="61"/>
      <c r="L627" s="6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61"/>
      <c r="J628" s="61"/>
      <c r="K628" s="61"/>
      <c r="L628" s="6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61"/>
      <c r="J629" s="61"/>
      <c r="K629" s="61"/>
      <c r="L629" s="6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61"/>
      <c r="J630" s="61"/>
      <c r="K630" s="61"/>
      <c r="L630" s="6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61"/>
      <c r="J631" s="61"/>
      <c r="K631" s="61"/>
      <c r="L631" s="6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61"/>
      <c r="J632" s="61"/>
      <c r="K632" s="61"/>
      <c r="L632" s="6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61"/>
      <c r="J633" s="61"/>
      <c r="K633" s="61"/>
      <c r="L633" s="6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61"/>
      <c r="J634" s="61"/>
      <c r="K634" s="61"/>
      <c r="L634" s="6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61"/>
      <c r="J635" s="61"/>
      <c r="K635" s="61"/>
      <c r="L635" s="6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61"/>
      <c r="J636" s="61"/>
      <c r="K636" s="61"/>
      <c r="L636" s="6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61"/>
      <c r="J637" s="61"/>
      <c r="K637" s="61"/>
      <c r="L637" s="6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61"/>
      <c r="J638" s="61"/>
      <c r="K638" s="61"/>
      <c r="L638" s="6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61"/>
      <c r="J639" s="61"/>
      <c r="K639" s="61"/>
      <c r="L639" s="6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61"/>
      <c r="J640" s="61"/>
      <c r="K640" s="61"/>
      <c r="L640" s="6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61"/>
      <c r="J641" s="61"/>
      <c r="K641" s="61"/>
      <c r="L641" s="6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61"/>
      <c r="J642" s="61"/>
      <c r="K642" s="61"/>
      <c r="L642" s="6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61"/>
      <c r="J643" s="61"/>
      <c r="K643" s="61"/>
      <c r="L643" s="6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61"/>
      <c r="J644" s="61"/>
      <c r="K644" s="61"/>
      <c r="L644" s="6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61"/>
      <c r="J645" s="61"/>
      <c r="K645" s="61"/>
      <c r="L645" s="6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61"/>
      <c r="J646" s="61"/>
      <c r="K646" s="61"/>
      <c r="L646" s="6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61"/>
      <c r="J647" s="61"/>
      <c r="K647" s="61"/>
      <c r="L647" s="6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61"/>
      <c r="J648" s="61"/>
      <c r="K648" s="61"/>
      <c r="L648" s="6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61"/>
      <c r="J649" s="61"/>
      <c r="K649" s="61"/>
      <c r="L649" s="6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61"/>
      <c r="J650" s="61"/>
      <c r="K650" s="61"/>
      <c r="L650" s="6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61"/>
      <c r="J651" s="61"/>
      <c r="K651" s="61"/>
      <c r="L651" s="6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61"/>
      <c r="J652" s="61"/>
      <c r="K652" s="61"/>
      <c r="L652" s="6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61"/>
      <c r="J653" s="61"/>
      <c r="K653" s="61"/>
      <c r="L653" s="6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61"/>
      <c r="J654" s="61"/>
      <c r="K654" s="61"/>
      <c r="L654" s="6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61"/>
      <c r="J655" s="61"/>
      <c r="K655" s="61"/>
      <c r="L655" s="6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61"/>
      <c r="J656" s="61"/>
      <c r="K656" s="61"/>
      <c r="L656" s="6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61"/>
      <c r="J657" s="61"/>
      <c r="K657" s="61"/>
      <c r="L657" s="6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61"/>
      <c r="J658" s="61"/>
      <c r="K658" s="61"/>
      <c r="L658" s="6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61"/>
      <c r="J659" s="61"/>
      <c r="K659" s="61"/>
      <c r="L659" s="6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61"/>
      <c r="J660" s="61"/>
      <c r="K660" s="61"/>
      <c r="L660" s="6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61"/>
      <c r="J661" s="61"/>
      <c r="K661" s="61"/>
      <c r="L661" s="6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61"/>
      <c r="J662" s="61"/>
      <c r="K662" s="61"/>
      <c r="L662" s="6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61"/>
      <c r="J663" s="61"/>
      <c r="K663" s="61"/>
      <c r="L663" s="6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61"/>
      <c r="J664" s="61"/>
      <c r="K664" s="61"/>
      <c r="L664" s="6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61"/>
      <c r="J665" s="61"/>
      <c r="K665" s="61"/>
      <c r="L665" s="6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61"/>
      <c r="J666" s="61"/>
      <c r="K666" s="61"/>
      <c r="L666" s="6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61"/>
      <c r="J667" s="61"/>
      <c r="K667" s="61"/>
      <c r="L667" s="6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61"/>
      <c r="J668" s="61"/>
      <c r="K668" s="61"/>
      <c r="L668" s="6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61"/>
      <c r="J669" s="61"/>
      <c r="K669" s="61"/>
      <c r="L669" s="6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61"/>
      <c r="J670" s="61"/>
      <c r="K670" s="61"/>
      <c r="L670" s="6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61"/>
      <c r="J671" s="61"/>
      <c r="K671" s="61"/>
      <c r="L671" s="6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61"/>
      <c r="J672" s="61"/>
      <c r="K672" s="61"/>
      <c r="L672" s="6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61"/>
      <c r="J673" s="61"/>
      <c r="K673" s="61"/>
      <c r="L673" s="6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61"/>
      <c r="J674" s="61"/>
      <c r="K674" s="61"/>
      <c r="L674" s="6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61"/>
      <c r="J675" s="61"/>
      <c r="K675" s="61"/>
      <c r="L675" s="6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61"/>
      <c r="J676" s="61"/>
      <c r="K676" s="61"/>
      <c r="L676" s="6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61"/>
      <c r="J677" s="61"/>
      <c r="K677" s="61"/>
      <c r="L677" s="6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61"/>
      <c r="J678" s="61"/>
      <c r="K678" s="61"/>
      <c r="L678" s="6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61"/>
      <c r="J679" s="61"/>
      <c r="K679" s="61"/>
      <c r="L679" s="6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61"/>
      <c r="J680" s="61"/>
      <c r="K680" s="61"/>
      <c r="L680" s="6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61"/>
      <c r="J681" s="61"/>
      <c r="K681" s="61"/>
      <c r="L681" s="6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61"/>
      <c r="J682" s="61"/>
      <c r="K682" s="61"/>
      <c r="L682" s="6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61"/>
      <c r="J683" s="61"/>
      <c r="K683" s="61"/>
      <c r="L683" s="6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61"/>
      <c r="J684" s="61"/>
      <c r="K684" s="61"/>
      <c r="L684" s="6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61"/>
      <c r="J685" s="61"/>
      <c r="K685" s="61"/>
      <c r="L685" s="6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61"/>
      <c r="J686" s="61"/>
      <c r="K686" s="61"/>
      <c r="L686" s="6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61"/>
      <c r="J687" s="61"/>
      <c r="K687" s="61"/>
      <c r="L687" s="6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61"/>
      <c r="J688" s="61"/>
      <c r="K688" s="61"/>
      <c r="L688" s="6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61"/>
      <c r="J689" s="61"/>
      <c r="K689" s="61"/>
      <c r="L689" s="6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61"/>
      <c r="J690" s="61"/>
      <c r="K690" s="61"/>
      <c r="L690" s="6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61"/>
      <c r="J691" s="61"/>
      <c r="K691" s="61"/>
      <c r="L691" s="6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61"/>
      <c r="J692" s="61"/>
      <c r="K692" s="61"/>
      <c r="L692" s="6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61"/>
      <c r="J693" s="61"/>
      <c r="K693" s="61"/>
      <c r="L693" s="6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61"/>
      <c r="J694" s="61"/>
      <c r="K694" s="61"/>
      <c r="L694" s="6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61"/>
      <c r="J695" s="61"/>
      <c r="K695" s="61"/>
      <c r="L695" s="6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61"/>
      <c r="J696" s="61"/>
      <c r="K696" s="61"/>
      <c r="L696" s="6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61"/>
      <c r="J697" s="61"/>
      <c r="K697" s="61"/>
      <c r="L697" s="6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61"/>
      <c r="J698" s="61"/>
      <c r="K698" s="61"/>
      <c r="L698" s="6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61"/>
      <c r="J699" s="61"/>
      <c r="K699" s="61"/>
      <c r="L699" s="6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61"/>
      <c r="J700" s="61"/>
      <c r="K700" s="61"/>
      <c r="L700" s="6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61"/>
      <c r="J701" s="61"/>
      <c r="K701" s="61"/>
      <c r="L701" s="6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61"/>
      <c r="J702" s="61"/>
      <c r="K702" s="61"/>
      <c r="L702" s="6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61"/>
      <c r="J703" s="61"/>
      <c r="K703" s="61"/>
      <c r="L703" s="6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61"/>
      <c r="J704" s="61"/>
      <c r="K704" s="61"/>
      <c r="L704" s="6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61"/>
      <c r="J705" s="61"/>
      <c r="K705" s="61"/>
      <c r="L705" s="6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61"/>
      <c r="J706" s="61"/>
      <c r="K706" s="61"/>
      <c r="L706" s="6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61"/>
      <c r="J707" s="61"/>
      <c r="K707" s="61"/>
      <c r="L707" s="6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61"/>
      <c r="J708" s="61"/>
      <c r="K708" s="61"/>
      <c r="L708" s="6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61"/>
      <c r="J709" s="61"/>
      <c r="K709" s="61"/>
      <c r="L709" s="6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61"/>
      <c r="J710" s="61"/>
      <c r="K710" s="61"/>
      <c r="L710" s="6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61"/>
      <c r="J711" s="61"/>
      <c r="K711" s="61"/>
      <c r="L711" s="6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61"/>
      <c r="J712" s="61"/>
      <c r="K712" s="61"/>
      <c r="L712" s="6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61"/>
      <c r="J713" s="61"/>
      <c r="K713" s="61"/>
      <c r="L713" s="6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61"/>
      <c r="J714" s="61"/>
      <c r="K714" s="61"/>
      <c r="L714" s="6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61"/>
      <c r="J715" s="61"/>
      <c r="K715" s="61"/>
      <c r="L715" s="6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61"/>
      <c r="J716" s="61"/>
      <c r="K716" s="61"/>
      <c r="L716" s="6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61"/>
      <c r="J717" s="61"/>
      <c r="K717" s="61"/>
      <c r="L717" s="6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61"/>
      <c r="J718" s="61"/>
      <c r="K718" s="61"/>
      <c r="L718" s="6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61"/>
      <c r="J719" s="61"/>
      <c r="K719" s="61"/>
      <c r="L719" s="6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61"/>
      <c r="J720" s="61"/>
      <c r="K720" s="61"/>
      <c r="L720" s="6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61"/>
      <c r="J721" s="61"/>
      <c r="K721" s="61"/>
      <c r="L721" s="6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61"/>
      <c r="J722" s="61"/>
      <c r="K722" s="61"/>
      <c r="L722" s="6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61"/>
      <c r="J723" s="61"/>
      <c r="K723" s="61"/>
      <c r="L723" s="6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61"/>
      <c r="J724" s="61"/>
      <c r="K724" s="61"/>
      <c r="L724" s="6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61"/>
      <c r="J725" s="61"/>
      <c r="K725" s="61"/>
      <c r="L725" s="6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61"/>
      <c r="J726" s="61"/>
      <c r="K726" s="61"/>
      <c r="L726" s="6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61"/>
      <c r="J727" s="61"/>
      <c r="K727" s="61"/>
      <c r="L727" s="6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61"/>
      <c r="J728" s="61"/>
      <c r="K728" s="61"/>
      <c r="L728" s="6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61"/>
      <c r="J729" s="61"/>
      <c r="K729" s="61"/>
      <c r="L729" s="6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61"/>
      <c r="J730" s="61"/>
      <c r="K730" s="61"/>
      <c r="L730" s="6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61"/>
      <c r="J731" s="61"/>
      <c r="K731" s="61"/>
      <c r="L731" s="6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61"/>
      <c r="J732" s="61"/>
      <c r="K732" s="61"/>
      <c r="L732" s="6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61"/>
      <c r="J733" s="61"/>
      <c r="K733" s="61"/>
      <c r="L733" s="6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61"/>
      <c r="J734" s="61"/>
      <c r="K734" s="61"/>
      <c r="L734" s="6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61"/>
      <c r="J735" s="61"/>
      <c r="K735" s="61"/>
      <c r="L735" s="6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61"/>
      <c r="J736" s="61"/>
      <c r="K736" s="61"/>
      <c r="L736" s="6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61"/>
      <c r="J737" s="61"/>
      <c r="K737" s="61"/>
      <c r="L737" s="6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61"/>
      <c r="J738" s="61"/>
      <c r="K738" s="61"/>
      <c r="L738" s="6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61"/>
      <c r="J739" s="61"/>
      <c r="K739" s="61"/>
      <c r="L739" s="6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61"/>
      <c r="J740" s="61"/>
      <c r="K740" s="61"/>
      <c r="L740" s="6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61"/>
      <c r="J741" s="61"/>
      <c r="K741" s="61"/>
      <c r="L741" s="6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61"/>
      <c r="J742" s="61"/>
      <c r="K742" s="61"/>
      <c r="L742" s="6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61"/>
      <c r="J743" s="61"/>
      <c r="K743" s="61"/>
      <c r="L743" s="6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61"/>
      <c r="J744" s="61"/>
      <c r="K744" s="61"/>
      <c r="L744" s="6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61"/>
      <c r="J745" s="61"/>
      <c r="K745" s="61"/>
      <c r="L745" s="6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61"/>
      <c r="J746" s="61"/>
      <c r="K746" s="61"/>
      <c r="L746" s="6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61"/>
      <c r="J747" s="61"/>
      <c r="K747" s="61"/>
      <c r="L747" s="6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61"/>
      <c r="J748" s="61"/>
      <c r="K748" s="61"/>
      <c r="L748" s="6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61"/>
      <c r="J749" s="61"/>
      <c r="K749" s="61"/>
      <c r="L749" s="6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61"/>
      <c r="J750" s="61"/>
      <c r="K750" s="61"/>
      <c r="L750" s="6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61"/>
      <c r="J751" s="61"/>
      <c r="K751" s="61"/>
      <c r="L751" s="6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61"/>
      <c r="J752" s="61"/>
      <c r="K752" s="61"/>
      <c r="L752" s="6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61"/>
      <c r="J753" s="61"/>
      <c r="K753" s="61"/>
      <c r="L753" s="6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61"/>
      <c r="J754" s="61"/>
      <c r="K754" s="61"/>
      <c r="L754" s="6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61"/>
      <c r="J755" s="61"/>
      <c r="K755" s="61"/>
      <c r="L755" s="6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61"/>
      <c r="J756" s="61"/>
      <c r="K756" s="61"/>
      <c r="L756" s="6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61"/>
      <c r="J757" s="61"/>
      <c r="K757" s="61"/>
      <c r="L757" s="6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61"/>
      <c r="J758" s="61"/>
      <c r="K758" s="61"/>
      <c r="L758" s="6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61"/>
      <c r="J759" s="61"/>
      <c r="K759" s="61"/>
      <c r="L759" s="6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61"/>
      <c r="J760" s="61"/>
      <c r="K760" s="61"/>
      <c r="L760" s="6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61"/>
      <c r="J761" s="61"/>
      <c r="K761" s="61"/>
      <c r="L761" s="6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61"/>
      <c r="J762" s="61"/>
      <c r="K762" s="61"/>
      <c r="L762" s="6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61"/>
      <c r="J763" s="61"/>
      <c r="K763" s="61"/>
      <c r="L763" s="6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61"/>
      <c r="J764" s="61"/>
      <c r="K764" s="61"/>
      <c r="L764" s="6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61"/>
      <c r="J765" s="61"/>
      <c r="K765" s="61"/>
      <c r="L765" s="6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61"/>
      <c r="J766" s="61"/>
      <c r="K766" s="61"/>
      <c r="L766" s="6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61"/>
      <c r="J767" s="61"/>
      <c r="K767" s="61"/>
      <c r="L767" s="6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61"/>
      <c r="J768" s="61"/>
      <c r="K768" s="61"/>
      <c r="L768" s="6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61"/>
      <c r="J769" s="61"/>
      <c r="K769" s="61"/>
      <c r="L769" s="6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61"/>
      <c r="J770" s="61"/>
      <c r="K770" s="61"/>
      <c r="L770" s="6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61"/>
      <c r="J771" s="61"/>
      <c r="K771" s="61"/>
      <c r="L771" s="6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61"/>
      <c r="J772" s="61"/>
      <c r="K772" s="61"/>
      <c r="L772" s="6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61"/>
      <c r="J773" s="61"/>
      <c r="K773" s="61"/>
      <c r="L773" s="6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61"/>
      <c r="J774" s="61"/>
      <c r="K774" s="61"/>
      <c r="L774" s="6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61"/>
      <c r="J775" s="61"/>
      <c r="K775" s="61"/>
      <c r="L775" s="6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61"/>
      <c r="J776" s="61"/>
      <c r="K776" s="61"/>
      <c r="L776" s="6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61"/>
      <c r="J777" s="61"/>
      <c r="K777" s="61"/>
      <c r="L777" s="6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61"/>
      <c r="J778" s="61"/>
      <c r="K778" s="61"/>
      <c r="L778" s="6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61"/>
      <c r="J779" s="61"/>
      <c r="K779" s="61"/>
      <c r="L779" s="6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61"/>
      <c r="J780" s="61"/>
      <c r="K780" s="61"/>
      <c r="L780" s="6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61"/>
      <c r="J781" s="61"/>
      <c r="K781" s="61"/>
      <c r="L781" s="6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61"/>
      <c r="J782" s="61"/>
      <c r="K782" s="61"/>
      <c r="L782" s="6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61"/>
      <c r="J783" s="61"/>
      <c r="K783" s="61"/>
      <c r="L783" s="6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61"/>
      <c r="J784" s="61"/>
      <c r="K784" s="61"/>
      <c r="L784" s="6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61"/>
      <c r="J785" s="61"/>
      <c r="K785" s="61"/>
      <c r="L785" s="6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61"/>
      <c r="J786" s="61"/>
      <c r="K786" s="61"/>
      <c r="L786" s="6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61"/>
      <c r="J787" s="61"/>
      <c r="K787" s="61"/>
      <c r="L787" s="6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61"/>
      <c r="J788" s="61"/>
      <c r="K788" s="61"/>
      <c r="L788" s="6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61"/>
      <c r="J789" s="61"/>
      <c r="K789" s="61"/>
      <c r="L789" s="6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61"/>
      <c r="J790" s="61"/>
      <c r="K790" s="61"/>
      <c r="L790" s="6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61"/>
      <c r="J791" s="61"/>
      <c r="K791" s="61"/>
      <c r="L791" s="6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61"/>
      <c r="J792" s="61"/>
      <c r="K792" s="61"/>
      <c r="L792" s="6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61"/>
      <c r="J793" s="61"/>
      <c r="K793" s="61"/>
      <c r="L793" s="6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61"/>
      <c r="J794" s="61"/>
      <c r="K794" s="61"/>
      <c r="L794" s="6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61"/>
      <c r="J795" s="61"/>
      <c r="K795" s="61"/>
      <c r="L795" s="6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61"/>
      <c r="J796" s="61"/>
      <c r="K796" s="61"/>
      <c r="L796" s="6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61"/>
      <c r="J797" s="61"/>
      <c r="K797" s="61"/>
      <c r="L797" s="6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61"/>
      <c r="J798" s="61"/>
      <c r="K798" s="61"/>
      <c r="L798" s="6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61"/>
      <c r="J799" s="61"/>
      <c r="K799" s="61"/>
      <c r="L799" s="6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61"/>
      <c r="J800" s="61"/>
      <c r="K800" s="61"/>
      <c r="L800" s="6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61"/>
      <c r="J801" s="61"/>
      <c r="K801" s="61"/>
      <c r="L801" s="6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61"/>
      <c r="J802" s="61"/>
      <c r="K802" s="61"/>
      <c r="L802" s="6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61"/>
      <c r="J803" s="61"/>
      <c r="K803" s="61"/>
      <c r="L803" s="6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61"/>
      <c r="J804" s="61"/>
      <c r="K804" s="61"/>
      <c r="L804" s="6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61"/>
      <c r="J805" s="61"/>
      <c r="K805" s="61"/>
      <c r="L805" s="6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61"/>
      <c r="J806" s="61"/>
      <c r="K806" s="61"/>
      <c r="L806" s="6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61"/>
      <c r="J807" s="61"/>
      <c r="K807" s="61"/>
      <c r="L807" s="6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61"/>
      <c r="J808" s="61"/>
      <c r="K808" s="61"/>
      <c r="L808" s="6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61"/>
      <c r="J809" s="61"/>
      <c r="K809" s="61"/>
      <c r="L809" s="6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61"/>
      <c r="J810" s="61"/>
      <c r="K810" s="61"/>
      <c r="L810" s="6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61"/>
      <c r="J811" s="61"/>
      <c r="K811" s="61"/>
      <c r="L811" s="6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61"/>
      <c r="J812" s="61"/>
      <c r="K812" s="61"/>
      <c r="L812" s="6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61"/>
      <c r="J813" s="61"/>
      <c r="K813" s="61"/>
      <c r="L813" s="6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61"/>
      <c r="J814" s="61"/>
      <c r="K814" s="61"/>
      <c r="L814" s="6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61"/>
      <c r="J815" s="61"/>
      <c r="K815" s="61"/>
      <c r="L815" s="6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61"/>
      <c r="J816" s="61"/>
      <c r="K816" s="61"/>
      <c r="L816" s="6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61"/>
      <c r="J817" s="61"/>
      <c r="K817" s="61"/>
      <c r="L817" s="6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61"/>
      <c r="J818" s="61"/>
      <c r="K818" s="61"/>
      <c r="L818" s="6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61"/>
      <c r="J819" s="61"/>
      <c r="K819" s="61"/>
      <c r="L819" s="6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61"/>
      <c r="J820" s="61"/>
      <c r="K820" s="61"/>
      <c r="L820" s="6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61"/>
      <c r="J821" s="61"/>
      <c r="K821" s="61"/>
      <c r="L821" s="6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61"/>
      <c r="J822" s="61"/>
      <c r="K822" s="61"/>
      <c r="L822" s="6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61"/>
      <c r="J823" s="61"/>
      <c r="K823" s="61"/>
      <c r="L823" s="6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61"/>
      <c r="J824" s="61"/>
      <c r="K824" s="61"/>
      <c r="L824" s="6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61"/>
      <c r="J825" s="61"/>
      <c r="K825" s="61"/>
      <c r="L825" s="6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61"/>
      <c r="J826" s="61"/>
      <c r="K826" s="61"/>
      <c r="L826" s="6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61"/>
      <c r="J827" s="61"/>
      <c r="K827" s="61"/>
      <c r="L827" s="6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61"/>
      <c r="J828" s="61"/>
      <c r="K828" s="61"/>
      <c r="L828" s="6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61"/>
      <c r="J829" s="61"/>
      <c r="K829" s="61"/>
      <c r="L829" s="6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61"/>
      <c r="J830" s="61"/>
      <c r="K830" s="61"/>
      <c r="L830" s="6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61"/>
      <c r="J831" s="61"/>
      <c r="K831" s="61"/>
      <c r="L831" s="6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61"/>
      <c r="J832" s="61"/>
      <c r="K832" s="61"/>
      <c r="L832" s="6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61"/>
      <c r="J833" s="61"/>
      <c r="K833" s="61"/>
      <c r="L833" s="6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61"/>
      <c r="J834" s="61"/>
      <c r="K834" s="61"/>
      <c r="L834" s="6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61"/>
      <c r="J835" s="61"/>
      <c r="K835" s="61"/>
      <c r="L835" s="6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61"/>
      <c r="J836" s="61"/>
      <c r="K836" s="61"/>
      <c r="L836" s="6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61"/>
      <c r="J837" s="61"/>
      <c r="K837" s="61"/>
      <c r="L837" s="6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61"/>
      <c r="J838" s="61"/>
      <c r="K838" s="61"/>
      <c r="L838" s="6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61"/>
      <c r="J839" s="61"/>
      <c r="K839" s="61"/>
      <c r="L839" s="6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61"/>
      <c r="J840" s="61"/>
      <c r="K840" s="61"/>
      <c r="L840" s="6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61"/>
      <c r="J841" s="61"/>
      <c r="K841" s="61"/>
      <c r="L841" s="6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61"/>
      <c r="J842" s="61"/>
      <c r="K842" s="61"/>
      <c r="L842" s="6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61"/>
      <c r="J843" s="61"/>
      <c r="K843" s="61"/>
      <c r="L843" s="6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61"/>
      <c r="J844" s="61"/>
      <c r="K844" s="61"/>
      <c r="L844" s="6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61"/>
      <c r="J845" s="61"/>
      <c r="K845" s="61"/>
      <c r="L845" s="6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61"/>
      <c r="J846" s="61"/>
      <c r="K846" s="61"/>
      <c r="L846" s="6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61"/>
      <c r="J847" s="61"/>
      <c r="K847" s="61"/>
      <c r="L847" s="6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61"/>
      <c r="J848" s="61"/>
      <c r="K848" s="61"/>
      <c r="L848" s="6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61"/>
      <c r="J849" s="61"/>
      <c r="K849" s="61"/>
      <c r="L849" s="6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61"/>
      <c r="J850" s="61"/>
      <c r="K850" s="61"/>
      <c r="L850" s="6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61"/>
      <c r="J851" s="61"/>
      <c r="K851" s="61"/>
      <c r="L851" s="6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61"/>
      <c r="J852" s="61"/>
      <c r="K852" s="61"/>
      <c r="L852" s="6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61"/>
      <c r="J853" s="61"/>
      <c r="K853" s="61"/>
      <c r="L853" s="6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61"/>
      <c r="J854" s="61"/>
      <c r="K854" s="61"/>
      <c r="L854" s="6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61"/>
      <c r="J855" s="61"/>
      <c r="K855" s="61"/>
      <c r="L855" s="6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61"/>
      <c r="J856" s="61"/>
      <c r="K856" s="61"/>
      <c r="L856" s="6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61"/>
      <c r="J857" s="61"/>
      <c r="K857" s="61"/>
      <c r="L857" s="6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61"/>
      <c r="J858" s="61"/>
      <c r="K858" s="61"/>
      <c r="L858" s="6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61"/>
      <c r="J859" s="61"/>
      <c r="K859" s="61"/>
      <c r="L859" s="6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61"/>
      <c r="J860" s="61"/>
      <c r="K860" s="61"/>
      <c r="L860" s="6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61"/>
      <c r="J861" s="61"/>
      <c r="K861" s="61"/>
      <c r="L861" s="6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61"/>
      <c r="J862" s="61"/>
      <c r="K862" s="61"/>
      <c r="L862" s="6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61"/>
      <c r="J863" s="61"/>
      <c r="K863" s="61"/>
      <c r="L863" s="6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61"/>
      <c r="J864" s="61"/>
      <c r="K864" s="61"/>
      <c r="L864" s="6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61"/>
      <c r="J865" s="61"/>
      <c r="K865" s="61"/>
      <c r="L865" s="6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61"/>
      <c r="J866" s="61"/>
      <c r="K866" s="61"/>
      <c r="L866" s="6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61"/>
      <c r="J867" s="61"/>
      <c r="K867" s="61"/>
      <c r="L867" s="6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61"/>
      <c r="J868" s="61"/>
      <c r="K868" s="61"/>
      <c r="L868" s="6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61"/>
      <c r="J869" s="61"/>
      <c r="K869" s="61"/>
      <c r="L869" s="6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61"/>
      <c r="J870" s="61"/>
      <c r="K870" s="61"/>
      <c r="L870" s="6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61"/>
      <c r="J871" s="61"/>
      <c r="K871" s="61"/>
      <c r="L871" s="6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61"/>
      <c r="J872" s="61"/>
      <c r="K872" s="61"/>
      <c r="L872" s="6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61"/>
      <c r="J873" s="61"/>
      <c r="K873" s="61"/>
      <c r="L873" s="6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61"/>
      <c r="J874" s="61"/>
      <c r="K874" s="61"/>
      <c r="L874" s="6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61"/>
      <c r="J875" s="61"/>
      <c r="K875" s="61"/>
      <c r="L875" s="6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61"/>
      <c r="J876" s="61"/>
      <c r="K876" s="61"/>
      <c r="L876" s="6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61"/>
      <c r="J877" s="61"/>
      <c r="K877" s="61"/>
      <c r="L877" s="6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61"/>
      <c r="J878" s="61"/>
      <c r="K878" s="61"/>
      <c r="L878" s="6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61"/>
      <c r="J879" s="61"/>
      <c r="K879" s="61"/>
      <c r="L879" s="6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61"/>
      <c r="J880" s="61"/>
      <c r="K880" s="61"/>
      <c r="L880" s="6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61"/>
      <c r="J881" s="61"/>
      <c r="K881" s="61"/>
      <c r="L881" s="6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61"/>
      <c r="J882" s="61"/>
      <c r="K882" s="61"/>
      <c r="L882" s="6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61"/>
      <c r="J883" s="61"/>
      <c r="K883" s="61"/>
      <c r="L883" s="6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61"/>
      <c r="J884" s="61"/>
      <c r="K884" s="61"/>
      <c r="L884" s="6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61"/>
      <c r="J885" s="61"/>
      <c r="K885" s="61"/>
      <c r="L885" s="6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61"/>
      <c r="J886" s="61"/>
      <c r="K886" s="61"/>
      <c r="L886" s="6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61"/>
      <c r="J887" s="61"/>
      <c r="K887" s="61"/>
      <c r="L887" s="6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61"/>
      <c r="J888" s="61"/>
      <c r="K888" s="61"/>
      <c r="L888" s="6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61"/>
      <c r="J889" s="61"/>
      <c r="K889" s="61"/>
      <c r="L889" s="6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61"/>
      <c r="J890" s="61"/>
      <c r="K890" s="61"/>
      <c r="L890" s="6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61"/>
      <c r="J891" s="61"/>
      <c r="K891" s="61"/>
      <c r="L891" s="6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61"/>
      <c r="J892" s="61"/>
      <c r="K892" s="61"/>
      <c r="L892" s="6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61"/>
      <c r="J893" s="61"/>
      <c r="K893" s="61"/>
      <c r="L893" s="6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61"/>
      <c r="J894" s="61"/>
      <c r="K894" s="61"/>
      <c r="L894" s="6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61"/>
      <c r="J895" s="61"/>
      <c r="K895" s="61"/>
      <c r="L895" s="6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61"/>
      <c r="J896" s="61"/>
      <c r="K896" s="61"/>
      <c r="L896" s="6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61"/>
      <c r="J897" s="61"/>
      <c r="K897" s="61"/>
      <c r="L897" s="6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61"/>
      <c r="J898" s="61"/>
      <c r="K898" s="61"/>
      <c r="L898" s="6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61"/>
      <c r="J899" s="61"/>
      <c r="K899" s="61"/>
      <c r="L899" s="6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61"/>
      <c r="J900" s="61"/>
      <c r="K900" s="61"/>
      <c r="L900" s="6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61"/>
      <c r="J901" s="61"/>
      <c r="K901" s="61"/>
      <c r="L901" s="6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61"/>
      <c r="J902" s="61"/>
      <c r="K902" s="61"/>
      <c r="L902" s="6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61"/>
      <c r="J903" s="61"/>
      <c r="K903" s="61"/>
      <c r="L903" s="6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61"/>
      <c r="J904" s="61"/>
      <c r="K904" s="61"/>
      <c r="L904" s="6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61"/>
      <c r="J905" s="61"/>
      <c r="K905" s="61"/>
      <c r="L905" s="6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61"/>
      <c r="J906" s="61"/>
      <c r="K906" s="61"/>
      <c r="L906" s="6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61"/>
      <c r="J907" s="61"/>
      <c r="K907" s="61"/>
      <c r="L907" s="6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61"/>
      <c r="J908" s="61"/>
      <c r="K908" s="61"/>
      <c r="L908" s="6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61"/>
      <c r="J909" s="61"/>
      <c r="K909" s="61"/>
      <c r="L909" s="6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61"/>
      <c r="J910" s="61"/>
      <c r="K910" s="61"/>
      <c r="L910" s="6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61"/>
      <c r="J911" s="61"/>
      <c r="K911" s="61"/>
      <c r="L911" s="6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61"/>
      <c r="J912" s="61"/>
      <c r="K912" s="61"/>
      <c r="L912" s="6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61"/>
      <c r="J913" s="61"/>
      <c r="K913" s="61"/>
      <c r="L913" s="6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61"/>
      <c r="J914" s="61"/>
      <c r="K914" s="61"/>
      <c r="L914" s="6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61"/>
      <c r="J915" s="61"/>
      <c r="K915" s="61"/>
      <c r="L915" s="6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61"/>
      <c r="J916" s="61"/>
      <c r="K916" s="61"/>
      <c r="L916" s="6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61"/>
      <c r="J917" s="61"/>
      <c r="K917" s="61"/>
      <c r="L917" s="6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61"/>
      <c r="J918" s="61"/>
      <c r="K918" s="61"/>
      <c r="L918" s="6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61"/>
      <c r="J919" s="61"/>
      <c r="K919" s="61"/>
      <c r="L919" s="6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61"/>
      <c r="J920" s="61"/>
      <c r="K920" s="61"/>
      <c r="L920" s="6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61"/>
      <c r="J921" s="61"/>
      <c r="K921" s="61"/>
      <c r="L921" s="6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61"/>
      <c r="J922" s="61"/>
      <c r="K922" s="61"/>
      <c r="L922" s="6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61"/>
      <c r="J923" s="61"/>
      <c r="K923" s="61"/>
      <c r="L923" s="6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61"/>
      <c r="J924" s="61"/>
      <c r="K924" s="61"/>
      <c r="L924" s="6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61"/>
      <c r="J925" s="61"/>
      <c r="K925" s="61"/>
      <c r="L925" s="6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61"/>
      <c r="J926" s="61"/>
      <c r="K926" s="61"/>
      <c r="L926" s="6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61"/>
      <c r="J927" s="61"/>
      <c r="K927" s="61"/>
      <c r="L927" s="6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61"/>
      <c r="J928" s="61"/>
      <c r="K928" s="61"/>
      <c r="L928" s="6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61"/>
      <c r="J929" s="61"/>
      <c r="K929" s="61"/>
      <c r="L929" s="6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61"/>
      <c r="J930" s="61"/>
      <c r="K930" s="61"/>
      <c r="L930" s="6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61"/>
      <c r="J931" s="61"/>
      <c r="K931" s="61"/>
      <c r="L931" s="6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61"/>
      <c r="J932" s="61"/>
      <c r="K932" s="61"/>
      <c r="L932" s="6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61"/>
      <c r="J933" s="61"/>
      <c r="K933" s="61"/>
      <c r="L933" s="6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61"/>
      <c r="J934" s="61"/>
      <c r="K934" s="61"/>
      <c r="L934" s="6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61"/>
      <c r="J935" s="61"/>
      <c r="K935" s="61"/>
      <c r="L935" s="6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61"/>
      <c r="J936" s="61"/>
      <c r="K936" s="61"/>
      <c r="L936" s="6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61"/>
      <c r="J937" s="61"/>
      <c r="K937" s="61"/>
      <c r="L937" s="6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61"/>
      <c r="J938" s="61"/>
      <c r="K938" s="61"/>
      <c r="L938" s="6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61"/>
      <c r="J939" s="61"/>
      <c r="K939" s="61"/>
      <c r="L939" s="6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61"/>
      <c r="J940" s="61"/>
      <c r="K940" s="61"/>
      <c r="L940" s="6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61"/>
      <c r="J941" s="61"/>
      <c r="K941" s="61"/>
      <c r="L941" s="6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61"/>
      <c r="J942" s="61"/>
      <c r="K942" s="61"/>
      <c r="L942" s="6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61"/>
      <c r="J943" s="61"/>
      <c r="K943" s="61"/>
      <c r="L943" s="6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61"/>
      <c r="J944" s="61"/>
      <c r="K944" s="61"/>
      <c r="L944" s="6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61"/>
      <c r="J945" s="61"/>
      <c r="K945" s="61"/>
      <c r="L945" s="6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61"/>
      <c r="J946" s="61"/>
      <c r="K946" s="61"/>
      <c r="L946" s="6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61"/>
      <c r="J947" s="61"/>
      <c r="K947" s="61"/>
      <c r="L947" s="6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61"/>
      <c r="J948" s="61"/>
      <c r="K948" s="61"/>
      <c r="L948" s="6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61"/>
      <c r="J949" s="61"/>
      <c r="K949" s="61"/>
      <c r="L949" s="6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61"/>
      <c r="J950" s="61"/>
      <c r="K950" s="61"/>
      <c r="L950" s="6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61"/>
      <c r="J951" s="61"/>
      <c r="K951" s="61"/>
      <c r="L951" s="6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61"/>
      <c r="J952" s="61"/>
      <c r="K952" s="61"/>
      <c r="L952" s="6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61"/>
      <c r="J953" s="61"/>
      <c r="K953" s="61"/>
      <c r="L953" s="6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61"/>
      <c r="J954" s="61"/>
      <c r="K954" s="61"/>
      <c r="L954" s="6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61"/>
      <c r="J955" s="61"/>
      <c r="K955" s="61"/>
      <c r="L955" s="6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61"/>
      <c r="J956" s="61"/>
      <c r="K956" s="61"/>
      <c r="L956" s="6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61"/>
      <c r="J957" s="61"/>
      <c r="K957" s="61"/>
      <c r="L957" s="6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61"/>
      <c r="J958" s="61"/>
      <c r="K958" s="61"/>
      <c r="L958" s="6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61"/>
      <c r="J959" s="61"/>
      <c r="K959" s="61"/>
      <c r="L959" s="6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61"/>
      <c r="J960" s="61"/>
      <c r="K960" s="61"/>
      <c r="L960" s="6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61"/>
      <c r="J961" s="61"/>
      <c r="K961" s="61"/>
      <c r="L961" s="6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61"/>
      <c r="J962" s="61"/>
      <c r="K962" s="61"/>
      <c r="L962" s="6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61"/>
      <c r="J963" s="61"/>
      <c r="K963" s="61"/>
      <c r="L963" s="6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61"/>
      <c r="J964" s="61"/>
      <c r="K964" s="61"/>
      <c r="L964" s="6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61"/>
      <c r="J965" s="61"/>
      <c r="K965" s="61"/>
      <c r="L965" s="6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61"/>
      <c r="J966" s="61"/>
      <c r="K966" s="61"/>
      <c r="L966" s="6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61"/>
      <c r="J967" s="61"/>
      <c r="K967" s="61"/>
      <c r="L967" s="6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61"/>
      <c r="J968" s="61"/>
      <c r="K968" s="61"/>
      <c r="L968" s="6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61"/>
      <c r="J969" s="61"/>
      <c r="K969" s="61"/>
      <c r="L969" s="6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61"/>
      <c r="J970" s="61"/>
      <c r="K970" s="61"/>
      <c r="L970" s="6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61"/>
      <c r="J971" s="61"/>
      <c r="K971" s="61"/>
      <c r="L971" s="6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61"/>
      <c r="J972" s="61"/>
      <c r="K972" s="61"/>
      <c r="L972" s="6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61"/>
      <c r="J973" s="61"/>
      <c r="K973" s="61"/>
      <c r="L973" s="6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61"/>
      <c r="J974" s="61"/>
      <c r="K974" s="61"/>
      <c r="L974" s="6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61"/>
      <c r="J975" s="61"/>
      <c r="K975" s="61"/>
      <c r="L975" s="6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61"/>
      <c r="J976" s="61"/>
      <c r="K976" s="61"/>
      <c r="L976" s="6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61"/>
      <c r="J977" s="61"/>
      <c r="K977" s="61"/>
      <c r="L977" s="6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61"/>
      <c r="J978" s="61"/>
      <c r="K978" s="61"/>
      <c r="L978" s="6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61"/>
      <c r="J979" s="61"/>
      <c r="K979" s="61"/>
      <c r="L979" s="6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61"/>
      <c r="J980" s="61"/>
      <c r="K980" s="61"/>
      <c r="L980" s="6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61"/>
      <c r="J981" s="61"/>
      <c r="K981" s="61"/>
      <c r="L981" s="6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61"/>
      <c r="J982" s="61"/>
      <c r="K982" s="61"/>
      <c r="L982" s="6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61"/>
      <c r="J983" s="61"/>
      <c r="K983" s="61"/>
      <c r="L983" s="6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61"/>
      <c r="J984" s="61"/>
      <c r="K984" s="61"/>
      <c r="L984" s="6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61"/>
      <c r="J985" s="61"/>
      <c r="K985" s="61"/>
      <c r="L985" s="6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61"/>
      <c r="J986" s="61"/>
      <c r="K986" s="61"/>
      <c r="L986" s="6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61"/>
      <c r="J987" s="61"/>
      <c r="K987" s="61"/>
      <c r="L987" s="6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61"/>
      <c r="J988" s="61"/>
      <c r="K988" s="61"/>
      <c r="L988" s="6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61"/>
      <c r="J989" s="61"/>
      <c r="K989" s="61"/>
      <c r="L989" s="6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61"/>
      <c r="J990" s="61"/>
      <c r="K990" s="61"/>
      <c r="L990" s="6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61"/>
      <c r="J991" s="61"/>
      <c r="K991" s="61"/>
      <c r="L991" s="6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61"/>
      <c r="J992" s="61"/>
      <c r="K992" s="61"/>
      <c r="L992" s="6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61"/>
      <c r="J993" s="61"/>
      <c r="K993" s="61"/>
      <c r="L993" s="6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61"/>
      <c r="J994" s="61"/>
      <c r="K994" s="61"/>
      <c r="L994" s="6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61"/>
      <c r="J995" s="61"/>
      <c r="K995" s="61"/>
      <c r="L995" s="6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61"/>
      <c r="J996" s="61"/>
      <c r="K996" s="61"/>
      <c r="L996" s="6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61"/>
      <c r="J997" s="61"/>
      <c r="K997" s="61"/>
      <c r="L997" s="6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61"/>
      <c r="J998" s="61"/>
      <c r="K998" s="61"/>
      <c r="L998" s="6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61"/>
      <c r="J999" s="61"/>
      <c r="K999" s="61"/>
      <c r="L999" s="6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61"/>
      <c r="J1000" s="61"/>
      <c r="K1000" s="61"/>
      <c r="L1000" s="6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61"/>
      <c r="J1001" s="61"/>
      <c r="K1001" s="61"/>
      <c r="L1001" s="6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61"/>
      <c r="J1002" s="61"/>
      <c r="K1002" s="61"/>
      <c r="L1002" s="6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4">
    <mergeCell ref="A2:O2"/>
    <mergeCell ref="A3:O3"/>
    <mergeCell ref="A4:O5"/>
    <mergeCell ref="N8:O8"/>
  </mergeCells>
  <dataValidations>
    <dataValidation type="list" allowBlank="1" showErrorMessage="1" sqref="H8">
      <formula1>"Vinicius,Kaua,Caio,Julia,Jhonatas,Diogo,Caio Ferreira,Pamelah,Caio Alves,Camila,Wiliam ,Gabriel ,Fernanda,Kaua Pessoni,Gabriel Batista,Gustavo Pereira,Demetrio ,Caio Vinicius,Wesley,Miriã"</formula1>
    </dataValidation>
    <dataValidation type="list" allowBlank="1" showErrorMessage="1" sqref="H7">
      <formula1>"Mel,Flavia,Fernanda,ANA JULIA,Leticia,Miriã"</formula1>
    </dataValidation>
    <dataValidation type="list" allowBlank="1" showErrorMessage="1" sqref="A7:A95">
      <formula1>"Pix,Cartão,Pacote ,Pago "</formula1>
    </dataValidation>
    <dataValidation type="list" allowBlank="1" showErrorMessage="1" sqref="D7:D95">
      <formula1>"White board,Cartoon ,3D ,3D personalizado,3D Premium,VSL,Logo,Post,Influencer Pamela,Influencer João B.,3D Estatico ,3D Realista,Edição audio,Pov,Flow,Personalização,Explainer"</formula1>
    </dataValidation>
    <dataValidation type="list" allowBlank="1" showErrorMessage="1" sqref="C7:C95 H9:H95">
      <formula1>"Vinicius,Kaua,Caio,Julia,Jhonatas,Diogo,Caio Ferreira,Pamelah,Caio Alves,Camila,Wiliam ,Gabriel ,Fernanda,Kaua Pessoni,Gabriel Batista,Gustavo Pereira,Demetrio ,Caio Vinicius,Wesley"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25"/>
    <col customWidth="1" min="6" max="6" width="15.63"/>
  </cols>
  <sheetData>
    <row r="1">
      <c r="A1" s="1"/>
      <c r="B1" s="1"/>
      <c r="C1" s="2"/>
      <c r="D1" s="2"/>
      <c r="E1" s="2"/>
      <c r="F1" s="2"/>
      <c r="G1" s="2"/>
      <c r="H1" s="2"/>
      <c r="I1" s="3"/>
      <c r="J1" s="3"/>
      <c r="K1" s="3"/>
      <c r="L1" s="3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7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4" t="s">
        <v>3</v>
      </c>
      <c r="B6" s="15" t="s">
        <v>4</v>
      </c>
      <c r="C6" s="15" t="s">
        <v>5</v>
      </c>
      <c r="D6" s="15" t="s">
        <v>6</v>
      </c>
      <c r="E6" s="15" t="s">
        <v>7</v>
      </c>
      <c r="F6" s="16" t="s">
        <v>8</v>
      </c>
      <c r="G6" s="14" t="s">
        <v>9</v>
      </c>
      <c r="H6" s="14" t="s">
        <v>10</v>
      </c>
      <c r="I6" s="17" t="s">
        <v>11</v>
      </c>
      <c r="J6" s="18" t="s">
        <v>12</v>
      </c>
      <c r="K6" s="19" t="s">
        <v>13</v>
      </c>
      <c r="L6" s="20" t="s">
        <v>14</v>
      </c>
      <c r="M6" s="21" t="s">
        <v>15</v>
      </c>
      <c r="N6" s="2"/>
      <c r="O6" s="2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68" t="s">
        <v>20</v>
      </c>
      <c r="B7" s="23"/>
      <c r="C7" s="24"/>
      <c r="D7" s="68" t="s">
        <v>48</v>
      </c>
      <c r="E7" s="68" t="s">
        <v>178</v>
      </c>
      <c r="F7" s="25"/>
      <c r="G7" s="78" t="s">
        <v>179</v>
      </c>
      <c r="H7" s="24"/>
      <c r="I7" s="28"/>
      <c r="J7" s="29"/>
      <c r="K7" s="119">
        <v>50.0</v>
      </c>
      <c r="L7" s="31"/>
      <c r="M7" s="84">
        <v>50.0</v>
      </c>
      <c r="N7" s="2"/>
      <c r="O7" s="22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3"/>
      <c r="B8" s="23"/>
      <c r="C8" s="24"/>
      <c r="D8" s="68" t="s">
        <v>24</v>
      </c>
      <c r="E8" s="125" t="s">
        <v>180</v>
      </c>
      <c r="F8" s="26"/>
      <c r="G8" s="78" t="s">
        <v>145</v>
      </c>
      <c r="H8" s="24"/>
      <c r="I8" s="28"/>
      <c r="J8" s="29"/>
      <c r="K8" s="119">
        <v>500.0</v>
      </c>
      <c r="L8" s="31"/>
      <c r="M8" s="27">
        <v>250.0</v>
      </c>
      <c r="N8" s="33" t="s">
        <v>16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3"/>
      <c r="B9" s="23"/>
      <c r="C9" s="24"/>
      <c r="D9" s="68" t="s">
        <v>53</v>
      </c>
      <c r="E9" s="125" t="s">
        <v>181</v>
      </c>
      <c r="F9" s="26"/>
      <c r="G9" s="78" t="s">
        <v>182</v>
      </c>
      <c r="H9" s="24"/>
      <c r="I9" s="28"/>
      <c r="J9" s="29"/>
      <c r="K9" s="119">
        <v>250.0</v>
      </c>
      <c r="L9" s="31"/>
      <c r="M9" s="27">
        <v>125.0</v>
      </c>
      <c r="N9" s="17" t="s">
        <v>11</v>
      </c>
      <c r="O9" s="34">
        <f>SUM(I6:I95)</f>
        <v>100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8" t="s">
        <v>51</v>
      </c>
      <c r="B10" s="23"/>
      <c r="C10" s="24"/>
      <c r="D10" s="68" t="s">
        <v>24</v>
      </c>
      <c r="E10" s="125" t="s">
        <v>183</v>
      </c>
      <c r="F10" s="26"/>
      <c r="G10" s="78" t="s">
        <v>88</v>
      </c>
      <c r="H10" s="24"/>
      <c r="I10" s="130" t="s">
        <v>109</v>
      </c>
      <c r="J10" s="29"/>
      <c r="K10" s="30"/>
      <c r="L10" s="31"/>
      <c r="M10" s="131" t="s">
        <v>58</v>
      </c>
      <c r="N10" s="18" t="s">
        <v>12</v>
      </c>
      <c r="O10" s="34">
        <f>SUM(J7:J95)</f>
        <v>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68" t="s">
        <v>51</v>
      </c>
      <c r="B11" s="23"/>
      <c r="C11" s="24"/>
      <c r="D11" s="68" t="s">
        <v>24</v>
      </c>
      <c r="E11" s="68" t="s">
        <v>184</v>
      </c>
      <c r="F11" s="26"/>
      <c r="G11" s="78" t="s">
        <v>88</v>
      </c>
      <c r="H11" s="24"/>
      <c r="I11" s="130" t="s">
        <v>109</v>
      </c>
      <c r="J11" s="29"/>
      <c r="K11" s="30"/>
      <c r="L11" s="31"/>
      <c r="M11" s="27" t="s">
        <v>58</v>
      </c>
      <c r="N11" s="19" t="s">
        <v>13</v>
      </c>
      <c r="O11" s="34">
        <f>SUM(K7:K96)</f>
        <v>800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68" t="s">
        <v>51</v>
      </c>
      <c r="B12" s="23"/>
      <c r="C12" s="24"/>
      <c r="D12" s="68" t="s">
        <v>24</v>
      </c>
      <c r="E12" s="68" t="s">
        <v>185</v>
      </c>
      <c r="F12" s="26"/>
      <c r="G12" s="78" t="s">
        <v>88</v>
      </c>
      <c r="H12" s="24"/>
      <c r="I12" s="130" t="s">
        <v>109</v>
      </c>
      <c r="J12" s="29"/>
      <c r="K12" s="30"/>
      <c r="L12" s="31"/>
      <c r="M12" s="27" t="s">
        <v>58</v>
      </c>
      <c r="N12" s="20" t="s">
        <v>14</v>
      </c>
      <c r="O12" s="34">
        <f>SUM(L7:L96)</f>
        <v>990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68" t="s">
        <v>51</v>
      </c>
      <c r="B13" s="23"/>
      <c r="C13" s="24"/>
      <c r="D13" s="68" t="s">
        <v>24</v>
      </c>
      <c r="E13" s="68" t="s">
        <v>186</v>
      </c>
      <c r="F13" s="26"/>
      <c r="G13" s="78" t="s">
        <v>88</v>
      </c>
      <c r="H13" s="24"/>
      <c r="I13" s="130" t="s">
        <v>109</v>
      </c>
      <c r="J13" s="29"/>
      <c r="K13" s="30"/>
      <c r="L13" s="31"/>
      <c r="M13" s="100" t="s">
        <v>58</v>
      </c>
      <c r="N13" s="36" t="s">
        <v>17</v>
      </c>
      <c r="O13" s="37">
        <f>SUM(N8:O12)</f>
        <v>1890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68" t="s">
        <v>51</v>
      </c>
      <c r="B14" s="23"/>
      <c r="C14" s="24"/>
      <c r="D14" s="68" t="s">
        <v>24</v>
      </c>
      <c r="E14" s="68" t="s">
        <v>187</v>
      </c>
      <c r="F14" s="26"/>
      <c r="G14" s="78" t="s">
        <v>88</v>
      </c>
      <c r="H14" s="24"/>
      <c r="I14" s="130" t="s">
        <v>109</v>
      </c>
      <c r="J14" s="29"/>
      <c r="K14" s="30"/>
      <c r="L14" s="31"/>
      <c r="M14" s="100" t="s">
        <v>58</v>
      </c>
      <c r="N14" s="2"/>
      <c r="O14" s="2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68" t="s">
        <v>51</v>
      </c>
      <c r="B15" s="23"/>
      <c r="C15" s="24"/>
      <c r="D15" s="68" t="s">
        <v>24</v>
      </c>
      <c r="E15" s="68" t="s">
        <v>188</v>
      </c>
      <c r="F15" s="26"/>
      <c r="G15" s="78" t="s">
        <v>88</v>
      </c>
      <c r="H15" s="24"/>
      <c r="I15" s="130" t="s">
        <v>109</v>
      </c>
      <c r="J15" s="29"/>
      <c r="K15" s="30"/>
      <c r="L15" s="31"/>
      <c r="M15" s="100" t="s">
        <v>58</v>
      </c>
      <c r="N15" s="2"/>
      <c r="O15" s="2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68" t="s">
        <v>51</v>
      </c>
      <c r="B16" s="23"/>
      <c r="C16" s="24"/>
      <c r="D16" s="68" t="s">
        <v>24</v>
      </c>
      <c r="E16" s="68" t="s">
        <v>189</v>
      </c>
      <c r="F16" s="26"/>
      <c r="G16" s="78" t="s">
        <v>88</v>
      </c>
      <c r="H16" s="24"/>
      <c r="I16" s="130" t="s">
        <v>109</v>
      </c>
      <c r="J16" s="29"/>
      <c r="K16" s="30"/>
      <c r="L16" s="31"/>
      <c r="M16" s="100" t="s">
        <v>58</v>
      </c>
      <c r="N16" s="2"/>
      <c r="O16" s="2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68" t="s">
        <v>20</v>
      </c>
      <c r="B17" s="23"/>
      <c r="C17" s="24"/>
      <c r="D17" s="68" t="s">
        <v>40</v>
      </c>
      <c r="E17" s="77" t="s">
        <v>190</v>
      </c>
      <c r="F17" s="26"/>
      <c r="G17" s="78" t="s">
        <v>191</v>
      </c>
      <c r="H17" s="24"/>
      <c r="I17" s="130">
        <v>100.0</v>
      </c>
      <c r="J17" s="29"/>
      <c r="K17" s="30"/>
      <c r="L17" s="31"/>
      <c r="M17" s="84">
        <v>100.0</v>
      </c>
      <c r="N17" s="2"/>
      <c r="O17" s="2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68" t="s">
        <v>20</v>
      </c>
      <c r="B18" s="23"/>
      <c r="C18" s="24"/>
      <c r="D18" s="68" t="s">
        <v>24</v>
      </c>
      <c r="E18" s="121" t="s">
        <v>192</v>
      </c>
      <c r="F18" s="26"/>
      <c r="G18" s="106">
        <v>6.599799322E9</v>
      </c>
      <c r="H18" s="24"/>
      <c r="I18" s="28"/>
      <c r="J18" s="29"/>
      <c r="K18" s="30"/>
      <c r="L18" s="126">
        <v>990.0</v>
      </c>
      <c r="M18" s="84">
        <v>990.0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3"/>
      <c r="B19" s="23"/>
      <c r="C19" s="24"/>
      <c r="D19" s="23"/>
      <c r="E19" s="26"/>
      <c r="F19" s="26"/>
      <c r="G19" s="26"/>
      <c r="H19" s="24"/>
      <c r="I19" s="28"/>
      <c r="J19" s="29"/>
      <c r="K19" s="30"/>
      <c r="L19" s="31"/>
      <c r="M19" s="3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3"/>
      <c r="B20" s="23"/>
      <c r="C20" s="24"/>
      <c r="D20" s="23"/>
      <c r="E20" s="26"/>
      <c r="F20" s="26"/>
      <c r="G20" s="26"/>
      <c r="H20" s="24"/>
      <c r="I20" s="28"/>
      <c r="J20" s="29"/>
      <c r="K20" s="30"/>
      <c r="L20" s="31"/>
      <c r="M20" s="3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3"/>
      <c r="B21" s="23"/>
      <c r="C21" s="24"/>
      <c r="D21" s="23"/>
      <c r="E21" s="26"/>
      <c r="F21" s="26"/>
      <c r="G21" s="26"/>
      <c r="H21" s="24"/>
      <c r="I21" s="28"/>
      <c r="J21" s="29"/>
      <c r="K21" s="30"/>
      <c r="L21" s="31"/>
      <c r="M21" s="3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3"/>
      <c r="B22" s="23"/>
      <c r="C22" s="24"/>
      <c r="D22" s="23"/>
      <c r="E22" s="26"/>
      <c r="F22" s="26"/>
      <c r="G22" s="26"/>
      <c r="H22" s="24"/>
      <c r="I22" s="28"/>
      <c r="J22" s="29"/>
      <c r="K22" s="30"/>
      <c r="L22" s="31"/>
      <c r="M22" s="3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3"/>
      <c r="B23" s="23"/>
      <c r="C23" s="24"/>
      <c r="D23" s="23"/>
      <c r="E23" s="26"/>
      <c r="F23" s="26"/>
      <c r="G23" s="26"/>
      <c r="H23" s="24"/>
      <c r="I23" s="28"/>
      <c r="J23" s="29"/>
      <c r="K23" s="30"/>
      <c r="L23" s="31"/>
      <c r="M23" s="3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3"/>
      <c r="B24" s="23"/>
      <c r="C24" s="24"/>
      <c r="D24" s="23"/>
      <c r="E24" s="26"/>
      <c r="F24" s="26"/>
      <c r="G24" s="26"/>
      <c r="H24" s="24"/>
      <c r="I24" s="38"/>
      <c r="J24" s="39"/>
      <c r="K24" s="40"/>
      <c r="L24" s="41"/>
      <c r="M24" s="3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3"/>
      <c r="B25" s="23"/>
      <c r="C25" s="24"/>
      <c r="D25" s="23"/>
      <c r="E25" s="26"/>
      <c r="F25" s="26"/>
      <c r="G25" s="26"/>
      <c r="H25" s="24"/>
      <c r="I25" s="38"/>
      <c r="J25" s="39"/>
      <c r="K25" s="40"/>
      <c r="L25" s="41"/>
      <c r="M25" s="3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3"/>
      <c r="B26" s="23"/>
      <c r="C26" s="24"/>
      <c r="D26" s="23"/>
      <c r="E26" s="26"/>
      <c r="F26" s="26"/>
      <c r="G26" s="26"/>
      <c r="H26" s="24"/>
      <c r="I26" s="38"/>
      <c r="J26" s="39"/>
      <c r="K26" s="40"/>
      <c r="L26" s="41"/>
      <c r="M26" s="3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3"/>
      <c r="B27" s="23"/>
      <c r="C27" s="24"/>
      <c r="D27" s="23"/>
      <c r="E27" s="26"/>
      <c r="F27" s="26"/>
      <c r="G27" s="26"/>
      <c r="H27" s="24"/>
      <c r="I27" s="38"/>
      <c r="J27" s="39"/>
      <c r="K27" s="40"/>
      <c r="L27" s="41"/>
      <c r="M27" s="3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3"/>
      <c r="B28" s="23"/>
      <c r="C28" s="24"/>
      <c r="D28" s="23"/>
      <c r="E28" s="26"/>
      <c r="F28" s="26"/>
      <c r="G28" s="26"/>
      <c r="H28" s="24"/>
      <c r="I28" s="38"/>
      <c r="J28" s="39"/>
      <c r="K28" s="40"/>
      <c r="L28" s="41"/>
      <c r="M28" s="35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3"/>
      <c r="B29" s="23"/>
      <c r="C29" s="24"/>
      <c r="D29" s="23"/>
      <c r="E29" s="26"/>
      <c r="F29" s="26"/>
      <c r="G29" s="26"/>
      <c r="H29" s="24"/>
      <c r="I29" s="38"/>
      <c r="J29" s="39"/>
      <c r="K29" s="40"/>
      <c r="L29" s="41"/>
      <c r="M29" s="3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3"/>
      <c r="B30" s="23"/>
      <c r="C30" s="24"/>
      <c r="D30" s="23"/>
      <c r="E30" s="26"/>
      <c r="F30" s="26"/>
      <c r="G30" s="26"/>
      <c r="H30" s="24"/>
      <c r="I30" s="38"/>
      <c r="J30" s="39"/>
      <c r="K30" s="40"/>
      <c r="L30" s="41"/>
      <c r="M30" s="3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3"/>
      <c r="B31" s="23"/>
      <c r="C31" s="24"/>
      <c r="D31" s="23"/>
      <c r="E31" s="26"/>
      <c r="F31" s="26"/>
      <c r="G31" s="26"/>
      <c r="H31" s="24"/>
      <c r="I31" s="38"/>
      <c r="J31" s="39"/>
      <c r="K31" s="40"/>
      <c r="L31" s="41"/>
      <c r="M31" s="3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3"/>
      <c r="B32" s="23"/>
      <c r="C32" s="24"/>
      <c r="D32" s="23"/>
      <c r="E32" s="26"/>
      <c r="F32" s="26"/>
      <c r="G32" s="26"/>
      <c r="H32" s="24"/>
      <c r="I32" s="38"/>
      <c r="J32" s="39"/>
      <c r="K32" s="40"/>
      <c r="L32" s="41"/>
      <c r="M32" s="3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3"/>
      <c r="B33" s="23"/>
      <c r="C33" s="24"/>
      <c r="D33" s="23"/>
      <c r="E33" s="26"/>
      <c r="F33" s="26"/>
      <c r="G33" s="26"/>
      <c r="H33" s="24"/>
      <c r="I33" s="38"/>
      <c r="J33" s="39"/>
      <c r="K33" s="40"/>
      <c r="L33" s="41"/>
      <c r="M33" s="3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3"/>
      <c r="B34" s="23"/>
      <c r="C34" s="24"/>
      <c r="D34" s="23"/>
      <c r="E34" s="26"/>
      <c r="F34" s="26"/>
      <c r="G34" s="26"/>
      <c r="H34" s="24"/>
      <c r="I34" s="38"/>
      <c r="J34" s="39"/>
      <c r="K34" s="40"/>
      <c r="L34" s="41"/>
      <c r="M34" s="3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3"/>
      <c r="B35" s="23"/>
      <c r="C35" s="24"/>
      <c r="D35" s="23"/>
      <c r="E35" s="26"/>
      <c r="F35" s="26"/>
      <c r="G35" s="26"/>
      <c r="H35" s="24"/>
      <c r="I35" s="38"/>
      <c r="J35" s="39"/>
      <c r="K35" s="40"/>
      <c r="L35" s="41"/>
      <c r="M35" s="3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3"/>
      <c r="B36" s="23"/>
      <c r="C36" s="24"/>
      <c r="D36" s="23"/>
      <c r="E36" s="26"/>
      <c r="F36" s="26"/>
      <c r="G36" s="26"/>
      <c r="H36" s="24"/>
      <c r="I36" s="38"/>
      <c r="J36" s="29"/>
      <c r="K36" s="30"/>
      <c r="L36" s="31"/>
      <c r="M36" s="4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3"/>
      <c r="B37" s="23"/>
      <c r="C37" s="24"/>
      <c r="D37" s="23"/>
      <c r="E37" s="26"/>
      <c r="F37" s="26"/>
      <c r="G37" s="26"/>
      <c r="H37" s="24"/>
      <c r="I37" s="38"/>
      <c r="J37" s="29"/>
      <c r="K37" s="30"/>
      <c r="L37" s="31"/>
      <c r="M37" s="4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3"/>
      <c r="B38" s="23"/>
      <c r="C38" s="24"/>
      <c r="D38" s="23"/>
      <c r="E38" s="26"/>
      <c r="F38" s="26"/>
      <c r="G38" s="26"/>
      <c r="H38" s="24"/>
      <c r="I38" s="38"/>
      <c r="J38" s="29"/>
      <c r="K38" s="30"/>
      <c r="L38" s="31"/>
      <c r="M38" s="4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3"/>
      <c r="B39" s="23"/>
      <c r="C39" s="24"/>
      <c r="D39" s="23"/>
      <c r="E39" s="26"/>
      <c r="F39" s="26"/>
      <c r="G39" s="26"/>
      <c r="H39" s="24"/>
      <c r="I39" s="38"/>
      <c r="J39" s="29"/>
      <c r="K39" s="30"/>
      <c r="L39" s="31"/>
      <c r="M39" s="4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3"/>
      <c r="B40" s="23"/>
      <c r="C40" s="24"/>
      <c r="D40" s="23"/>
      <c r="E40" s="26"/>
      <c r="F40" s="26"/>
      <c r="G40" s="26"/>
      <c r="H40" s="24"/>
      <c r="I40" s="38"/>
      <c r="J40" s="29"/>
      <c r="K40" s="30"/>
      <c r="L40" s="31"/>
      <c r="M40" s="4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3"/>
      <c r="B41" s="23"/>
      <c r="C41" s="24"/>
      <c r="D41" s="23"/>
      <c r="E41" s="26"/>
      <c r="F41" s="26"/>
      <c r="G41" s="26"/>
      <c r="H41" s="24"/>
      <c r="I41" s="38"/>
      <c r="J41" s="29"/>
      <c r="K41" s="30"/>
      <c r="L41" s="31"/>
      <c r="M41" s="4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3"/>
      <c r="B42" s="23"/>
      <c r="C42" s="24"/>
      <c r="D42" s="23"/>
      <c r="E42" s="35"/>
      <c r="F42" s="35"/>
      <c r="G42" s="35"/>
      <c r="H42" s="24"/>
      <c r="I42" s="38"/>
      <c r="J42" s="29"/>
      <c r="K42" s="30"/>
      <c r="L42" s="31"/>
      <c r="M42" s="4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3"/>
      <c r="B43" s="23"/>
      <c r="C43" s="24"/>
      <c r="D43" s="23"/>
      <c r="E43" s="26"/>
      <c r="F43" s="26"/>
      <c r="G43" s="26"/>
      <c r="H43" s="24"/>
      <c r="I43" s="38"/>
      <c r="J43" s="29"/>
      <c r="K43" s="30"/>
      <c r="L43" s="31"/>
      <c r="M43" s="4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3"/>
      <c r="B44" s="23"/>
      <c r="C44" s="24"/>
      <c r="D44" s="23"/>
      <c r="E44" s="26"/>
      <c r="F44" s="26"/>
      <c r="G44" s="26"/>
      <c r="H44" s="24"/>
      <c r="I44" s="38"/>
      <c r="J44" s="29"/>
      <c r="K44" s="30"/>
      <c r="L44" s="31"/>
      <c r="M44" s="4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3"/>
      <c r="B45" s="23"/>
      <c r="C45" s="24"/>
      <c r="D45" s="23"/>
      <c r="E45" s="26"/>
      <c r="F45" s="26"/>
      <c r="G45" s="26"/>
      <c r="H45" s="24"/>
      <c r="I45" s="38"/>
      <c r="J45" s="29"/>
      <c r="K45" s="30"/>
      <c r="L45" s="31"/>
      <c r="M45" s="4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3"/>
      <c r="B46" s="23"/>
      <c r="C46" s="24"/>
      <c r="D46" s="23"/>
      <c r="E46" s="26"/>
      <c r="F46" s="26"/>
      <c r="G46" s="26"/>
      <c r="H46" s="24"/>
      <c r="I46" s="28"/>
      <c r="J46" s="29"/>
      <c r="K46" s="30"/>
      <c r="L46" s="31"/>
      <c r="M46" s="4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3"/>
      <c r="B47" s="23"/>
      <c r="C47" s="24"/>
      <c r="D47" s="23"/>
      <c r="E47" s="26"/>
      <c r="F47" s="26"/>
      <c r="G47" s="26"/>
      <c r="H47" s="24"/>
      <c r="I47" s="28"/>
      <c r="J47" s="29"/>
      <c r="K47" s="30"/>
      <c r="L47" s="31"/>
      <c r="M47" s="4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3"/>
      <c r="B48" s="23"/>
      <c r="C48" s="24"/>
      <c r="D48" s="23"/>
      <c r="E48" s="26"/>
      <c r="F48" s="26"/>
      <c r="G48" s="26"/>
      <c r="H48" s="24"/>
      <c r="I48" s="28"/>
      <c r="J48" s="29"/>
      <c r="K48" s="30"/>
      <c r="L48" s="31"/>
      <c r="M48" s="4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3"/>
      <c r="B49" s="23"/>
      <c r="C49" s="24"/>
      <c r="D49" s="23"/>
      <c r="E49" s="26"/>
      <c r="F49" s="26"/>
      <c r="G49" s="26"/>
      <c r="H49" s="24"/>
      <c r="I49" s="28"/>
      <c r="J49" s="29"/>
      <c r="K49" s="30"/>
      <c r="L49" s="31"/>
      <c r="M49" s="4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3"/>
      <c r="B50" s="23"/>
      <c r="C50" s="24"/>
      <c r="D50" s="23"/>
      <c r="E50" s="26"/>
      <c r="F50" s="26"/>
      <c r="G50" s="26"/>
      <c r="H50" s="24"/>
      <c r="I50" s="38"/>
      <c r="J50" s="29"/>
      <c r="K50" s="30"/>
      <c r="L50" s="31"/>
      <c r="M50" s="4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3"/>
      <c r="B51" s="23"/>
      <c r="C51" s="24"/>
      <c r="D51" s="23"/>
      <c r="E51" s="26"/>
      <c r="F51" s="26"/>
      <c r="G51" s="26"/>
      <c r="H51" s="24"/>
      <c r="I51" s="38"/>
      <c r="J51" s="29"/>
      <c r="K51" s="30"/>
      <c r="L51" s="31"/>
      <c r="M51" s="4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3"/>
      <c r="B52" s="23"/>
      <c r="C52" s="24"/>
      <c r="D52" s="23"/>
      <c r="E52" s="26"/>
      <c r="F52" s="26"/>
      <c r="G52" s="26"/>
      <c r="H52" s="24"/>
      <c r="I52" s="38"/>
      <c r="J52" s="29"/>
      <c r="K52" s="30"/>
      <c r="L52" s="31"/>
      <c r="M52" s="4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3"/>
      <c r="B53" s="23"/>
      <c r="C53" s="24"/>
      <c r="D53" s="23"/>
      <c r="E53" s="26"/>
      <c r="F53" s="26"/>
      <c r="G53" s="26"/>
      <c r="H53" s="24"/>
      <c r="I53" s="38"/>
      <c r="J53" s="29"/>
      <c r="K53" s="30"/>
      <c r="L53" s="31"/>
      <c r="M53" s="4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3"/>
      <c r="B54" s="23"/>
      <c r="C54" s="24"/>
      <c r="D54" s="23"/>
      <c r="E54" s="26"/>
      <c r="F54" s="26"/>
      <c r="G54" s="26"/>
      <c r="H54" s="24"/>
      <c r="I54" s="38"/>
      <c r="J54" s="29"/>
      <c r="K54" s="30"/>
      <c r="L54" s="31"/>
      <c r="M54" s="4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3"/>
      <c r="B55" s="23"/>
      <c r="C55" s="24"/>
      <c r="D55" s="23"/>
      <c r="E55" s="26"/>
      <c r="F55" s="26"/>
      <c r="G55" s="26"/>
      <c r="H55" s="24"/>
      <c r="I55" s="38"/>
      <c r="J55" s="29"/>
      <c r="K55" s="30"/>
      <c r="L55" s="31"/>
      <c r="M55" s="4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3"/>
      <c r="B56" s="23"/>
      <c r="C56" s="24"/>
      <c r="D56" s="23"/>
      <c r="E56" s="26"/>
      <c r="F56" s="26"/>
      <c r="G56" s="26"/>
      <c r="H56" s="24"/>
      <c r="I56" s="38"/>
      <c r="J56" s="29"/>
      <c r="K56" s="30"/>
      <c r="L56" s="31"/>
      <c r="M56" s="4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3"/>
      <c r="B57" s="23"/>
      <c r="C57" s="24"/>
      <c r="D57" s="23"/>
      <c r="E57" s="26"/>
      <c r="F57" s="26"/>
      <c r="G57" s="26"/>
      <c r="H57" s="24"/>
      <c r="I57" s="38"/>
      <c r="J57" s="39"/>
      <c r="K57" s="40"/>
      <c r="L57" s="41"/>
      <c r="M57" s="35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3"/>
      <c r="B58" s="23"/>
      <c r="C58" s="24"/>
      <c r="D58" s="23"/>
      <c r="E58" s="26"/>
      <c r="F58" s="26"/>
      <c r="G58" s="26"/>
      <c r="H58" s="24"/>
      <c r="I58" s="38"/>
      <c r="J58" s="29"/>
      <c r="K58" s="30"/>
      <c r="L58" s="31"/>
      <c r="M58" s="4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3"/>
      <c r="B59" s="23"/>
      <c r="C59" s="24"/>
      <c r="D59" s="23"/>
      <c r="E59" s="26"/>
      <c r="F59" s="26"/>
      <c r="G59" s="26"/>
      <c r="H59" s="24"/>
      <c r="I59" s="38"/>
      <c r="J59" s="29"/>
      <c r="K59" s="30"/>
      <c r="L59" s="31"/>
      <c r="M59" s="4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3"/>
      <c r="B60" s="23"/>
      <c r="C60" s="24"/>
      <c r="D60" s="23"/>
      <c r="E60" s="26"/>
      <c r="F60" s="26"/>
      <c r="G60" s="26"/>
      <c r="H60" s="24"/>
      <c r="I60" s="38"/>
      <c r="J60" s="29"/>
      <c r="K60" s="30"/>
      <c r="L60" s="31"/>
      <c r="M60" s="4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3"/>
      <c r="B61" s="23"/>
      <c r="C61" s="24"/>
      <c r="D61" s="23"/>
      <c r="E61" s="26"/>
      <c r="F61" s="26"/>
      <c r="G61" s="26"/>
      <c r="H61" s="24"/>
      <c r="I61" s="38"/>
      <c r="J61" s="29"/>
      <c r="K61" s="30"/>
      <c r="L61" s="31"/>
      <c r="M61" s="4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3"/>
      <c r="B62" s="23"/>
      <c r="C62" s="24"/>
      <c r="D62" s="23"/>
      <c r="E62" s="26"/>
      <c r="F62" s="26"/>
      <c r="G62" s="26"/>
      <c r="H62" s="24"/>
      <c r="I62" s="38"/>
      <c r="J62" s="29"/>
      <c r="K62" s="30"/>
      <c r="L62" s="31"/>
      <c r="M62" s="4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3"/>
      <c r="B63" s="23"/>
      <c r="C63" s="24"/>
      <c r="D63" s="23"/>
      <c r="E63" s="26"/>
      <c r="F63" s="26"/>
      <c r="G63" s="26"/>
      <c r="H63" s="24"/>
      <c r="I63" s="38"/>
      <c r="J63" s="29"/>
      <c r="K63" s="30"/>
      <c r="L63" s="31"/>
      <c r="M63" s="4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3"/>
      <c r="B64" s="23"/>
      <c r="C64" s="24"/>
      <c r="D64" s="23"/>
      <c r="E64" s="26"/>
      <c r="F64" s="26"/>
      <c r="G64" s="26"/>
      <c r="H64" s="24"/>
      <c r="I64" s="38"/>
      <c r="J64" s="29"/>
      <c r="K64" s="30"/>
      <c r="L64" s="31"/>
      <c r="M64" s="4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3"/>
      <c r="B65" s="23"/>
      <c r="C65" s="24"/>
      <c r="D65" s="23"/>
      <c r="E65" s="26"/>
      <c r="F65" s="26"/>
      <c r="G65" s="26"/>
      <c r="H65" s="24"/>
      <c r="I65" s="38"/>
      <c r="J65" s="29"/>
      <c r="K65" s="30"/>
      <c r="L65" s="31"/>
      <c r="M65" s="4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3"/>
      <c r="B66" s="23"/>
      <c r="C66" s="24"/>
      <c r="D66" s="23"/>
      <c r="E66" s="26"/>
      <c r="F66" s="26"/>
      <c r="G66" s="26"/>
      <c r="H66" s="24"/>
      <c r="I66" s="38"/>
      <c r="J66" s="29"/>
      <c r="K66" s="30"/>
      <c r="L66" s="31"/>
      <c r="M66" s="4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3"/>
      <c r="B67" s="23"/>
      <c r="C67" s="24"/>
      <c r="D67" s="23"/>
      <c r="E67" s="26"/>
      <c r="F67" s="26"/>
      <c r="G67" s="26"/>
      <c r="H67" s="24"/>
      <c r="I67" s="38"/>
      <c r="J67" s="29"/>
      <c r="K67" s="30"/>
      <c r="L67" s="31"/>
      <c r="M67" s="4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3"/>
      <c r="B68" s="23"/>
      <c r="C68" s="24"/>
      <c r="D68" s="23"/>
      <c r="E68" s="26"/>
      <c r="F68" s="26"/>
      <c r="G68" s="26"/>
      <c r="H68" s="24"/>
      <c r="I68" s="38"/>
      <c r="J68" s="29"/>
      <c r="K68" s="30"/>
      <c r="L68" s="31"/>
      <c r="M68" s="4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3"/>
      <c r="B69" s="23"/>
      <c r="C69" s="24"/>
      <c r="D69" s="23"/>
      <c r="E69" s="26"/>
      <c r="F69" s="26"/>
      <c r="G69" s="26"/>
      <c r="H69" s="24"/>
      <c r="I69" s="38"/>
      <c r="J69" s="29"/>
      <c r="K69" s="30"/>
      <c r="L69" s="31"/>
      <c r="M69" s="4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3"/>
      <c r="B70" s="23"/>
      <c r="C70" s="24"/>
      <c r="D70" s="23"/>
      <c r="E70" s="26"/>
      <c r="F70" s="26"/>
      <c r="G70" s="26"/>
      <c r="H70" s="24"/>
      <c r="I70" s="38"/>
      <c r="J70" s="29"/>
      <c r="K70" s="30"/>
      <c r="L70" s="31"/>
      <c r="M70" s="4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3"/>
      <c r="B71" s="23"/>
      <c r="C71" s="24"/>
      <c r="D71" s="23"/>
      <c r="E71" s="26"/>
      <c r="F71" s="26"/>
      <c r="G71" s="26"/>
      <c r="H71" s="24"/>
      <c r="I71" s="38"/>
      <c r="J71" s="29"/>
      <c r="K71" s="30"/>
      <c r="L71" s="31"/>
      <c r="M71" s="4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3"/>
      <c r="B72" s="23"/>
      <c r="C72" s="24"/>
      <c r="D72" s="23"/>
      <c r="E72" s="26"/>
      <c r="F72" s="26"/>
      <c r="G72" s="26"/>
      <c r="H72" s="24"/>
      <c r="I72" s="38"/>
      <c r="J72" s="29"/>
      <c r="K72" s="30"/>
      <c r="L72" s="31"/>
      <c r="M72" s="4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3"/>
      <c r="B73" s="23"/>
      <c r="C73" s="24"/>
      <c r="D73" s="23"/>
      <c r="E73" s="26"/>
      <c r="F73" s="26"/>
      <c r="G73" s="26"/>
      <c r="H73" s="24"/>
      <c r="I73" s="38"/>
      <c r="J73" s="39"/>
      <c r="K73" s="40"/>
      <c r="L73" s="41"/>
      <c r="M73" s="35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3"/>
      <c r="B74" s="23"/>
      <c r="C74" s="24"/>
      <c r="D74" s="23"/>
      <c r="E74" s="26"/>
      <c r="F74" s="26"/>
      <c r="G74" s="26"/>
      <c r="H74" s="24"/>
      <c r="I74" s="38"/>
      <c r="J74" s="29"/>
      <c r="K74" s="30"/>
      <c r="L74" s="31"/>
      <c r="M74" s="4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3"/>
      <c r="B75" s="23"/>
      <c r="C75" s="24"/>
      <c r="D75" s="23"/>
      <c r="E75" s="26"/>
      <c r="F75" s="26"/>
      <c r="G75" s="26"/>
      <c r="H75" s="24"/>
      <c r="I75" s="38"/>
      <c r="J75" s="29"/>
      <c r="K75" s="30"/>
      <c r="L75" s="31"/>
      <c r="M75" s="4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3"/>
      <c r="B76" s="23"/>
      <c r="C76" s="24"/>
      <c r="D76" s="23"/>
      <c r="E76" s="26"/>
      <c r="F76" s="26"/>
      <c r="G76" s="26"/>
      <c r="H76" s="24"/>
      <c r="I76" s="38"/>
      <c r="J76" s="29"/>
      <c r="K76" s="30"/>
      <c r="L76" s="31"/>
      <c r="M76" s="4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3"/>
      <c r="B77" s="23"/>
      <c r="C77" s="24"/>
      <c r="D77" s="23"/>
      <c r="E77" s="26"/>
      <c r="F77" s="26"/>
      <c r="G77" s="26"/>
      <c r="H77" s="24"/>
      <c r="I77" s="38"/>
      <c r="J77" s="29"/>
      <c r="K77" s="30"/>
      <c r="L77" s="31"/>
      <c r="M77" s="4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3"/>
      <c r="B78" s="23"/>
      <c r="C78" s="24"/>
      <c r="D78" s="23"/>
      <c r="E78" s="26"/>
      <c r="F78" s="26"/>
      <c r="G78" s="26"/>
      <c r="H78" s="24"/>
      <c r="I78" s="38"/>
      <c r="J78" s="29"/>
      <c r="K78" s="30"/>
      <c r="L78" s="31"/>
      <c r="M78" s="4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3"/>
      <c r="B79" s="23"/>
      <c r="C79" s="24"/>
      <c r="D79" s="23"/>
      <c r="E79" s="26"/>
      <c r="F79" s="26"/>
      <c r="G79" s="26"/>
      <c r="H79" s="24"/>
      <c r="I79" s="38"/>
      <c r="J79" s="29"/>
      <c r="K79" s="30"/>
      <c r="L79" s="31"/>
      <c r="M79" s="4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3"/>
      <c r="B80" s="23"/>
      <c r="C80" s="24"/>
      <c r="D80" s="23"/>
      <c r="E80" s="26"/>
      <c r="F80" s="26"/>
      <c r="G80" s="26"/>
      <c r="H80" s="24"/>
      <c r="I80" s="38"/>
      <c r="J80" s="39"/>
      <c r="K80" s="40"/>
      <c r="L80" s="41"/>
      <c r="M80" s="35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3"/>
      <c r="B81" s="23"/>
      <c r="C81" s="24"/>
      <c r="D81" s="23"/>
      <c r="E81" s="26"/>
      <c r="F81" s="26"/>
      <c r="G81" s="26"/>
      <c r="H81" s="24"/>
      <c r="I81" s="38"/>
      <c r="J81" s="29"/>
      <c r="K81" s="30"/>
      <c r="L81" s="31"/>
      <c r="M81" s="4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3"/>
      <c r="B82" s="23"/>
      <c r="C82" s="24"/>
      <c r="D82" s="23"/>
      <c r="E82" s="26"/>
      <c r="F82" s="26"/>
      <c r="G82" s="26"/>
      <c r="H82" s="24"/>
      <c r="I82" s="38"/>
      <c r="J82" s="29"/>
      <c r="K82" s="30"/>
      <c r="L82" s="31"/>
      <c r="M82" s="4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3"/>
      <c r="B83" s="23"/>
      <c r="C83" s="24"/>
      <c r="D83" s="23"/>
      <c r="E83" s="26"/>
      <c r="F83" s="26"/>
      <c r="G83" s="26"/>
      <c r="H83" s="24"/>
      <c r="I83" s="38"/>
      <c r="J83" s="39"/>
      <c r="K83" s="40"/>
      <c r="L83" s="41"/>
      <c r="M83" s="35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3"/>
      <c r="B84" s="23"/>
      <c r="C84" s="24"/>
      <c r="D84" s="23"/>
      <c r="E84" s="26"/>
      <c r="F84" s="26"/>
      <c r="G84" s="26"/>
      <c r="H84" s="24"/>
      <c r="I84" s="38"/>
      <c r="J84" s="39"/>
      <c r="K84" s="40"/>
      <c r="L84" s="41"/>
      <c r="M84" s="35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3"/>
      <c r="B85" s="23"/>
      <c r="C85" s="24"/>
      <c r="D85" s="23"/>
      <c r="E85" s="26"/>
      <c r="F85" s="26"/>
      <c r="G85" s="26"/>
      <c r="H85" s="24"/>
      <c r="I85" s="38"/>
      <c r="J85" s="39"/>
      <c r="K85" s="40"/>
      <c r="L85" s="41"/>
      <c r="M85" s="35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3"/>
      <c r="B86" s="23"/>
      <c r="C86" s="24"/>
      <c r="D86" s="23"/>
      <c r="E86" s="26"/>
      <c r="F86" s="26"/>
      <c r="G86" s="26"/>
      <c r="H86" s="24"/>
      <c r="I86" s="38"/>
      <c r="J86" s="39"/>
      <c r="K86" s="40"/>
      <c r="L86" s="41"/>
      <c r="M86" s="35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3"/>
      <c r="B87" s="23"/>
      <c r="C87" s="24"/>
      <c r="D87" s="23"/>
      <c r="E87" s="26"/>
      <c r="F87" s="26"/>
      <c r="G87" s="26"/>
      <c r="H87" s="24"/>
      <c r="I87" s="38"/>
      <c r="J87" s="39"/>
      <c r="K87" s="40"/>
      <c r="L87" s="41"/>
      <c r="M87" s="35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3"/>
      <c r="B88" s="23"/>
      <c r="C88" s="24"/>
      <c r="D88" s="23"/>
      <c r="E88" s="26"/>
      <c r="F88" s="26"/>
      <c r="G88" s="26"/>
      <c r="H88" s="24"/>
      <c r="I88" s="38"/>
      <c r="J88" s="39"/>
      <c r="K88" s="40"/>
      <c r="L88" s="41"/>
      <c r="M88" s="35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3"/>
      <c r="B89" s="23"/>
      <c r="C89" s="24"/>
      <c r="D89" s="23"/>
      <c r="E89" s="26"/>
      <c r="F89" s="26"/>
      <c r="G89" s="26"/>
      <c r="H89" s="24"/>
      <c r="I89" s="38"/>
      <c r="J89" s="39"/>
      <c r="K89" s="40"/>
      <c r="L89" s="41"/>
      <c r="M89" s="35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3"/>
      <c r="B90" s="23"/>
      <c r="C90" s="24"/>
      <c r="D90" s="23"/>
      <c r="E90" s="26"/>
      <c r="F90" s="26"/>
      <c r="G90" s="26"/>
      <c r="H90" s="24"/>
      <c r="I90" s="38"/>
      <c r="J90" s="39"/>
      <c r="K90" s="40"/>
      <c r="L90" s="41"/>
      <c r="M90" s="35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3"/>
      <c r="B91" s="23"/>
      <c r="C91" s="24"/>
      <c r="D91" s="23"/>
      <c r="E91" s="26"/>
      <c r="F91" s="26"/>
      <c r="G91" s="26"/>
      <c r="H91" s="24"/>
      <c r="I91" s="38"/>
      <c r="J91" s="39"/>
      <c r="K91" s="40"/>
      <c r="L91" s="41"/>
      <c r="M91" s="35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3"/>
      <c r="B92" s="23"/>
      <c r="C92" s="24"/>
      <c r="D92" s="23"/>
      <c r="E92" s="26"/>
      <c r="F92" s="26"/>
      <c r="G92" s="26"/>
      <c r="H92" s="24"/>
      <c r="I92" s="38"/>
      <c r="J92" s="39"/>
      <c r="K92" s="40"/>
      <c r="L92" s="41"/>
      <c r="M92" s="35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3"/>
      <c r="B93" s="23"/>
      <c r="C93" s="24"/>
      <c r="D93" s="23"/>
      <c r="E93" s="26"/>
      <c r="F93" s="26"/>
      <c r="G93" s="26"/>
      <c r="H93" s="24"/>
      <c r="I93" s="38"/>
      <c r="J93" s="39"/>
      <c r="K93" s="40"/>
      <c r="L93" s="41"/>
      <c r="M93" s="35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3"/>
      <c r="B94" s="23"/>
      <c r="C94" s="24"/>
      <c r="D94" s="23"/>
      <c r="E94" s="26"/>
      <c r="F94" s="26"/>
      <c r="G94" s="26"/>
      <c r="H94" s="24"/>
      <c r="I94" s="38"/>
      <c r="J94" s="39"/>
      <c r="K94" s="40"/>
      <c r="L94" s="41"/>
      <c r="M94" s="35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3"/>
      <c r="B95" s="23"/>
      <c r="C95" s="24"/>
      <c r="D95" s="23"/>
      <c r="E95" s="26"/>
      <c r="F95" s="26"/>
      <c r="G95" s="26"/>
      <c r="H95" s="24"/>
      <c r="I95" s="38"/>
      <c r="J95" s="39"/>
      <c r="K95" s="40"/>
      <c r="L95" s="41"/>
      <c r="M95" s="35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2"/>
      <c r="B96" s="1"/>
      <c r="C96" s="43"/>
      <c r="D96" s="44"/>
      <c r="E96" s="45"/>
      <c r="F96" s="2"/>
      <c r="G96" s="2"/>
      <c r="H96" s="2"/>
      <c r="I96" s="46"/>
      <c r="J96" s="47"/>
      <c r="K96" s="40"/>
      <c r="L96" s="41"/>
      <c r="M96" s="35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/>
      <c r="B97" s="1"/>
      <c r="C97" s="48"/>
      <c r="D97" s="49"/>
      <c r="E97" s="50"/>
      <c r="F97" s="2"/>
      <c r="G97" s="2"/>
      <c r="H97" s="2"/>
      <c r="I97" s="46"/>
      <c r="J97" s="46"/>
      <c r="K97" s="46"/>
      <c r="L97" s="46"/>
      <c r="M97" s="51">
        <f>SUM(M7:M96)</f>
        <v>1515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/>
      <c r="B98" s="52"/>
      <c r="C98" s="43"/>
      <c r="D98" s="2"/>
      <c r="E98" s="2"/>
      <c r="F98" s="2"/>
      <c r="G98" s="2"/>
      <c r="H98" s="2"/>
      <c r="I98" s="46"/>
      <c r="J98" s="46"/>
      <c r="K98" s="46"/>
      <c r="L98" s="46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43"/>
      <c r="D99" s="2"/>
      <c r="E99" s="2"/>
      <c r="F99" s="2"/>
      <c r="G99" s="2"/>
      <c r="H99" s="2"/>
      <c r="I99" s="53"/>
      <c r="J99" s="46"/>
      <c r="K99" s="46"/>
      <c r="L99" s="46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2"/>
      <c r="D100" s="2"/>
      <c r="E100" s="2"/>
      <c r="F100" s="2"/>
      <c r="G100" s="2"/>
      <c r="H100" s="2"/>
      <c r="I100" s="46"/>
      <c r="J100" s="53"/>
      <c r="K100" s="53"/>
      <c r="L100" s="53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2"/>
      <c r="D101" s="2"/>
      <c r="E101" s="2"/>
      <c r="F101" s="2"/>
      <c r="G101" s="2"/>
      <c r="H101" s="2"/>
      <c r="I101" s="46"/>
      <c r="J101" s="46"/>
      <c r="K101" s="46"/>
      <c r="L101" s="46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2"/>
      <c r="D102" s="2"/>
      <c r="E102" s="2"/>
      <c r="F102" s="2"/>
      <c r="G102" s="2"/>
      <c r="H102" s="2"/>
      <c r="I102" s="46"/>
      <c r="J102" s="46"/>
      <c r="K102" s="46"/>
      <c r="L102" s="46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2"/>
      <c r="D103" s="2"/>
      <c r="E103" s="2"/>
      <c r="F103" s="2"/>
      <c r="G103" s="2"/>
      <c r="H103" s="2"/>
      <c r="I103" s="46"/>
      <c r="J103" s="46"/>
      <c r="K103" s="46"/>
      <c r="L103" s="46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2"/>
      <c r="D104" s="2"/>
      <c r="E104" s="2"/>
      <c r="F104" s="2"/>
      <c r="G104" s="2"/>
      <c r="H104" s="2"/>
      <c r="I104" s="46"/>
      <c r="J104" s="46"/>
      <c r="K104" s="46"/>
      <c r="L104" s="46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2"/>
      <c r="D105" s="2"/>
      <c r="E105" s="2"/>
      <c r="F105" s="2"/>
      <c r="G105" s="2"/>
      <c r="H105" s="2"/>
      <c r="I105" s="17" t="s">
        <v>11</v>
      </c>
      <c r="J105" s="46"/>
      <c r="K105" s="46"/>
      <c r="L105" s="46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2"/>
      <c r="D106" s="2"/>
      <c r="E106" s="2"/>
      <c r="F106" s="2"/>
      <c r="G106" s="2"/>
      <c r="H106" s="2"/>
      <c r="I106" s="54">
        <f>SUM(I7:I96)</f>
        <v>100</v>
      </c>
      <c r="J106" s="55" t="s">
        <v>12</v>
      </c>
      <c r="K106" s="56"/>
      <c r="L106" s="57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2"/>
      <c r="D107" s="2"/>
      <c r="E107" s="2"/>
      <c r="F107" s="2"/>
      <c r="G107" s="2"/>
      <c r="H107" s="2"/>
      <c r="I107" s="58">
        <f>SUM(I106*2%)</f>
        <v>2</v>
      </c>
      <c r="J107" s="59">
        <f>SUM(J7:J96)</f>
        <v>0</v>
      </c>
      <c r="K107" s="60" t="s">
        <v>18</v>
      </c>
      <c r="L107" s="57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61"/>
      <c r="J108" s="54">
        <f>SUM(J107*2%)</f>
        <v>0</v>
      </c>
      <c r="K108" s="54">
        <f>SUM(K7:K96)</f>
        <v>800</v>
      </c>
      <c r="L108" s="62" t="s">
        <v>14</v>
      </c>
      <c r="M108" s="3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61"/>
      <c r="J109" s="63"/>
      <c r="K109" s="58">
        <f>SUM(K108*2%)</f>
        <v>16</v>
      </c>
      <c r="L109" s="64">
        <f>SUM(L8:L97)</f>
        <v>990</v>
      </c>
      <c r="M109" s="65" t="s">
        <v>19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61"/>
      <c r="J110" s="61"/>
      <c r="K110" s="61"/>
      <c r="L110" s="58">
        <f>SUM(L109*2%)</f>
        <v>19.8</v>
      </c>
      <c r="M110" s="66">
        <f>SUM(M97)</f>
        <v>1515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61"/>
      <c r="J111" s="61"/>
      <c r="K111" s="61"/>
      <c r="L111" s="6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61"/>
      <c r="J112" s="61"/>
      <c r="K112" s="61"/>
      <c r="L112" s="6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61"/>
      <c r="J113" s="61"/>
      <c r="K113" s="61"/>
      <c r="L113" s="6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61"/>
      <c r="J114" s="61"/>
      <c r="K114" s="61"/>
      <c r="L114" s="6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61"/>
      <c r="J115" s="61"/>
      <c r="K115" s="61"/>
      <c r="L115" s="6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61"/>
      <c r="J116" s="61"/>
      <c r="K116" s="61"/>
      <c r="L116" s="6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61"/>
      <c r="J117" s="61"/>
      <c r="K117" s="61"/>
      <c r="L117" s="6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61"/>
      <c r="J118" s="61"/>
      <c r="K118" s="61"/>
      <c r="L118" s="6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61"/>
      <c r="J119" s="61"/>
      <c r="K119" s="61"/>
      <c r="L119" s="6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61"/>
      <c r="J120" s="61"/>
      <c r="K120" s="61"/>
      <c r="L120" s="6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61"/>
      <c r="J121" s="61"/>
      <c r="K121" s="61"/>
      <c r="L121" s="6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61"/>
      <c r="J122" s="61"/>
      <c r="K122" s="61"/>
      <c r="L122" s="6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61"/>
      <c r="J123" s="61"/>
      <c r="K123" s="61"/>
      <c r="L123" s="6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61"/>
      <c r="J124" s="61"/>
      <c r="K124" s="61"/>
      <c r="L124" s="6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61"/>
      <c r="J125" s="61"/>
      <c r="K125" s="61"/>
      <c r="L125" s="6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61"/>
      <c r="J126" s="61"/>
      <c r="K126" s="61"/>
      <c r="L126" s="6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61"/>
      <c r="J127" s="61"/>
      <c r="K127" s="61"/>
      <c r="L127" s="6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61"/>
      <c r="J128" s="61"/>
      <c r="K128" s="61"/>
      <c r="L128" s="6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61"/>
      <c r="J129" s="61"/>
      <c r="K129" s="61"/>
      <c r="L129" s="6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61"/>
      <c r="J130" s="61"/>
      <c r="K130" s="61"/>
      <c r="L130" s="6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61"/>
      <c r="J131" s="61"/>
      <c r="K131" s="61"/>
      <c r="L131" s="6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61"/>
      <c r="J132" s="61"/>
      <c r="K132" s="61"/>
      <c r="L132" s="6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61"/>
      <c r="J133" s="61"/>
      <c r="K133" s="61"/>
      <c r="L133" s="6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61"/>
      <c r="J134" s="61"/>
      <c r="K134" s="61"/>
      <c r="L134" s="6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61"/>
      <c r="J135" s="61"/>
      <c r="K135" s="61"/>
      <c r="L135" s="6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61"/>
      <c r="J136" s="61"/>
      <c r="K136" s="61"/>
      <c r="L136" s="6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61"/>
      <c r="J137" s="61"/>
      <c r="K137" s="61"/>
      <c r="L137" s="6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61"/>
      <c r="J138" s="61"/>
      <c r="K138" s="61"/>
      <c r="L138" s="6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61"/>
      <c r="J139" s="61"/>
      <c r="K139" s="61"/>
      <c r="L139" s="6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61"/>
      <c r="J140" s="61"/>
      <c r="K140" s="61"/>
      <c r="L140" s="6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61"/>
      <c r="J141" s="61"/>
      <c r="K141" s="61"/>
      <c r="L141" s="6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61"/>
      <c r="J142" s="61"/>
      <c r="K142" s="61"/>
      <c r="L142" s="6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61"/>
      <c r="J143" s="61"/>
      <c r="K143" s="61"/>
      <c r="L143" s="6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61"/>
      <c r="J144" s="61"/>
      <c r="K144" s="61"/>
      <c r="L144" s="6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61"/>
      <c r="J145" s="61"/>
      <c r="K145" s="61"/>
      <c r="L145" s="6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61"/>
      <c r="J146" s="61"/>
      <c r="K146" s="61"/>
      <c r="L146" s="6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61"/>
      <c r="J147" s="61"/>
      <c r="K147" s="61"/>
      <c r="L147" s="6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61"/>
      <c r="J148" s="61"/>
      <c r="K148" s="61"/>
      <c r="L148" s="6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61"/>
      <c r="J149" s="61"/>
      <c r="K149" s="61"/>
      <c r="L149" s="6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61"/>
      <c r="J150" s="61"/>
      <c r="K150" s="61"/>
      <c r="L150" s="6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61"/>
      <c r="J151" s="61"/>
      <c r="K151" s="61"/>
      <c r="L151" s="6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61"/>
      <c r="J152" s="61"/>
      <c r="K152" s="61"/>
      <c r="L152" s="6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61"/>
      <c r="J153" s="61"/>
      <c r="K153" s="61"/>
      <c r="L153" s="6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61"/>
      <c r="J154" s="61"/>
      <c r="K154" s="61"/>
      <c r="L154" s="6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61"/>
      <c r="J155" s="61"/>
      <c r="K155" s="61"/>
      <c r="L155" s="6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61"/>
      <c r="J156" s="61"/>
      <c r="K156" s="61"/>
      <c r="L156" s="6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61"/>
      <c r="J157" s="61"/>
      <c r="K157" s="61"/>
      <c r="L157" s="6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61"/>
      <c r="J158" s="61"/>
      <c r="K158" s="61"/>
      <c r="L158" s="6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61"/>
      <c r="J159" s="61"/>
      <c r="K159" s="61"/>
      <c r="L159" s="6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61"/>
      <c r="J160" s="61"/>
      <c r="K160" s="61"/>
      <c r="L160" s="6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61"/>
      <c r="J161" s="61"/>
      <c r="K161" s="61"/>
      <c r="L161" s="6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61"/>
      <c r="J162" s="61"/>
      <c r="K162" s="61"/>
      <c r="L162" s="6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61"/>
      <c r="J163" s="61"/>
      <c r="K163" s="61"/>
      <c r="L163" s="6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61"/>
      <c r="J164" s="61"/>
      <c r="K164" s="61"/>
      <c r="L164" s="6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61"/>
      <c r="J165" s="61"/>
      <c r="K165" s="61"/>
      <c r="L165" s="6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61"/>
      <c r="J166" s="61"/>
      <c r="K166" s="61"/>
      <c r="L166" s="6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61"/>
      <c r="J167" s="61"/>
      <c r="K167" s="61"/>
      <c r="L167" s="6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61"/>
      <c r="J168" s="61"/>
      <c r="K168" s="61"/>
      <c r="L168" s="6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61"/>
      <c r="J169" s="61"/>
      <c r="K169" s="61"/>
      <c r="L169" s="6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61"/>
      <c r="J170" s="61"/>
      <c r="K170" s="61"/>
      <c r="L170" s="6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61"/>
      <c r="J171" s="61"/>
      <c r="K171" s="61"/>
      <c r="L171" s="6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61"/>
      <c r="J172" s="61"/>
      <c r="K172" s="61"/>
      <c r="L172" s="6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61"/>
      <c r="J173" s="61"/>
      <c r="K173" s="61"/>
      <c r="L173" s="6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61"/>
      <c r="J174" s="61"/>
      <c r="K174" s="61"/>
      <c r="L174" s="6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61"/>
      <c r="J175" s="61"/>
      <c r="K175" s="61"/>
      <c r="L175" s="6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61"/>
      <c r="J176" s="61"/>
      <c r="K176" s="61"/>
      <c r="L176" s="6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61"/>
      <c r="J177" s="61"/>
      <c r="K177" s="61"/>
      <c r="L177" s="6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61"/>
      <c r="J178" s="61"/>
      <c r="K178" s="61"/>
      <c r="L178" s="6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61"/>
      <c r="J179" s="61"/>
      <c r="K179" s="61"/>
      <c r="L179" s="6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61"/>
      <c r="J180" s="61"/>
      <c r="K180" s="61"/>
      <c r="L180" s="6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61"/>
      <c r="J181" s="61"/>
      <c r="K181" s="61"/>
      <c r="L181" s="6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61"/>
      <c r="J182" s="61"/>
      <c r="K182" s="61"/>
      <c r="L182" s="6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61"/>
      <c r="J183" s="61"/>
      <c r="K183" s="61"/>
      <c r="L183" s="6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61"/>
      <c r="J184" s="61"/>
      <c r="K184" s="61"/>
      <c r="L184" s="6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61"/>
      <c r="J185" s="61"/>
      <c r="K185" s="61"/>
      <c r="L185" s="6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61"/>
      <c r="J186" s="61"/>
      <c r="K186" s="61"/>
      <c r="L186" s="6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61"/>
      <c r="J187" s="61"/>
      <c r="K187" s="61"/>
      <c r="L187" s="6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61"/>
      <c r="J188" s="61"/>
      <c r="K188" s="61"/>
      <c r="L188" s="6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61"/>
      <c r="J189" s="61"/>
      <c r="K189" s="61"/>
      <c r="L189" s="6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61"/>
      <c r="J190" s="61"/>
      <c r="K190" s="61"/>
      <c r="L190" s="6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61"/>
      <c r="J191" s="61"/>
      <c r="K191" s="61"/>
      <c r="L191" s="6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61"/>
      <c r="J192" s="61"/>
      <c r="K192" s="61"/>
      <c r="L192" s="6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61"/>
      <c r="J193" s="61"/>
      <c r="K193" s="61"/>
      <c r="L193" s="6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61"/>
      <c r="J194" s="61"/>
      <c r="K194" s="61"/>
      <c r="L194" s="6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61"/>
      <c r="J195" s="61"/>
      <c r="K195" s="61"/>
      <c r="L195" s="6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61"/>
      <c r="J196" s="61"/>
      <c r="K196" s="61"/>
      <c r="L196" s="6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61"/>
      <c r="J197" s="61"/>
      <c r="K197" s="61"/>
      <c r="L197" s="6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61"/>
      <c r="J198" s="61"/>
      <c r="K198" s="61"/>
      <c r="L198" s="6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61"/>
      <c r="J199" s="61"/>
      <c r="K199" s="61"/>
      <c r="L199" s="6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61"/>
      <c r="J200" s="61"/>
      <c r="K200" s="61"/>
      <c r="L200" s="6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61"/>
      <c r="J201" s="61"/>
      <c r="K201" s="61"/>
      <c r="L201" s="6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61"/>
      <c r="J202" s="61"/>
      <c r="K202" s="61"/>
      <c r="L202" s="6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61"/>
      <c r="J203" s="61"/>
      <c r="K203" s="61"/>
      <c r="L203" s="6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61"/>
      <c r="J204" s="61"/>
      <c r="K204" s="61"/>
      <c r="L204" s="6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61"/>
      <c r="J205" s="61"/>
      <c r="K205" s="61"/>
      <c r="L205" s="6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61"/>
      <c r="J206" s="61"/>
      <c r="K206" s="61"/>
      <c r="L206" s="6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61"/>
      <c r="J207" s="61"/>
      <c r="K207" s="61"/>
      <c r="L207" s="6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61"/>
      <c r="J208" s="61"/>
      <c r="K208" s="61"/>
      <c r="L208" s="6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61"/>
      <c r="J209" s="61"/>
      <c r="K209" s="61"/>
      <c r="L209" s="6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61"/>
      <c r="J210" s="61"/>
      <c r="K210" s="61"/>
      <c r="L210" s="6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61"/>
      <c r="J211" s="61"/>
      <c r="K211" s="61"/>
      <c r="L211" s="6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61"/>
      <c r="J212" s="61"/>
      <c r="K212" s="61"/>
      <c r="L212" s="6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61"/>
      <c r="J213" s="61"/>
      <c r="K213" s="61"/>
      <c r="L213" s="6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61"/>
      <c r="J214" s="61"/>
      <c r="K214" s="61"/>
      <c r="L214" s="6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61"/>
      <c r="J215" s="61"/>
      <c r="K215" s="61"/>
      <c r="L215" s="6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61"/>
      <c r="J216" s="61"/>
      <c r="K216" s="61"/>
      <c r="L216" s="6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61"/>
      <c r="J217" s="61"/>
      <c r="K217" s="61"/>
      <c r="L217" s="6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61"/>
      <c r="J218" s="61"/>
      <c r="K218" s="61"/>
      <c r="L218" s="6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61"/>
      <c r="J219" s="61"/>
      <c r="K219" s="61"/>
      <c r="L219" s="6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61"/>
      <c r="J220" s="61"/>
      <c r="K220" s="61"/>
      <c r="L220" s="6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61"/>
      <c r="J221" s="61"/>
      <c r="K221" s="61"/>
      <c r="L221" s="6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61"/>
      <c r="J222" s="61"/>
      <c r="K222" s="61"/>
      <c r="L222" s="6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61"/>
      <c r="J223" s="61"/>
      <c r="K223" s="61"/>
      <c r="L223" s="6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61"/>
      <c r="J224" s="61"/>
      <c r="K224" s="61"/>
      <c r="L224" s="6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61"/>
      <c r="J225" s="61"/>
      <c r="K225" s="61"/>
      <c r="L225" s="6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61"/>
      <c r="J226" s="61"/>
      <c r="K226" s="61"/>
      <c r="L226" s="6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61"/>
      <c r="J227" s="61"/>
      <c r="K227" s="61"/>
      <c r="L227" s="6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61"/>
      <c r="J228" s="61"/>
      <c r="K228" s="61"/>
      <c r="L228" s="6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61"/>
      <c r="J229" s="61"/>
      <c r="K229" s="61"/>
      <c r="L229" s="6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61"/>
      <c r="J230" s="61"/>
      <c r="K230" s="61"/>
      <c r="L230" s="6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61"/>
      <c r="J231" s="61"/>
      <c r="K231" s="61"/>
      <c r="L231" s="6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61"/>
      <c r="J232" s="61"/>
      <c r="K232" s="61"/>
      <c r="L232" s="6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61"/>
      <c r="J233" s="61"/>
      <c r="K233" s="61"/>
      <c r="L233" s="6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61"/>
      <c r="J234" s="61"/>
      <c r="K234" s="61"/>
      <c r="L234" s="6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61"/>
      <c r="J235" s="61"/>
      <c r="K235" s="61"/>
      <c r="L235" s="6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61"/>
      <c r="J236" s="61"/>
      <c r="K236" s="61"/>
      <c r="L236" s="6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61"/>
      <c r="J237" s="61"/>
      <c r="K237" s="61"/>
      <c r="L237" s="6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61"/>
      <c r="J238" s="61"/>
      <c r="K238" s="61"/>
      <c r="L238" s="6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61"/>
      <c r="J239" s="61"/>
      <c r="K239" s="61"/>
      <c r="L239" s="6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61"/>
      <c r="J240" s="61"/>
      <c r="K240" s="61"/>
      <c r="L240" s="6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61"/>
      <c r="J241" s="61"/>
      <c r="K241" s="61"/>
      <c r="L241" s="6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61"/>
      <c r="J242" s="61"/>
      <c r="K242" s="61"/>
      <c r="L242" s="6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61"/>
      <c r="J243" s="61"/>
      <c r="K243" s="61"/>
      <c r="L243" s="6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61"/>
      <c r="J244" s="61"/>
      <c r="K244" s="61"/>
      <c r="L244" s="6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61"/>
      <c r="J245" s="61"/>
      <c r="K245" s="61"/>
      <c r="L245" s="6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61"/>
      <c r="J246" s="61"/>
      <c r="K246" s="61"/>
      <c r="L246" s="6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61"/>
      <c r="J247" s="61"/>
      <c r="K247" s="61"/>
      <c r="L247" s="6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61"/>
      <c r="J248" s="61"/>
      <c r="K248" s="61"/>
      <c r="L248" s="6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61"/>
      <c r="J249" s="61"/>
      <c r="K249" s="61"/>
      <c r="L249" s="6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61"/>
      <c r="J250" s="61"/>
      <c r="K250" s="61"/>
      <c r="L250" s="6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61"/>
      <c r="J251" s="61"/>
      <c r="K251" s="61"/>
      <c r="L251" s="6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61"/>
      <c r="J252" s="61"/>
      <c r="K252" s="61"/>
      <c r="L252" s="6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61"/>
      <c r="J253" s="61"/>
      <c r="K253" s="61"/>
      <c r="L253" s="6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61"/>
      <c r="J254" s="61"/>
      <c r="K254" s="61"/>
      <c r="L254" s="6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61"/>
      <c r="J255" s="61"/>
      <c r="K255" s="61"/>
      <c r="L255" s="6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61"/>
      <c r="J256" s="61"/>
      <c r="K256" s="61"/>
      <c r="L256" s="6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61"/>
      <c r="J257" s="61"/>
      <c r="K257" s="61"/>
      <c r="L257" s="6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61"/>
      <c r="J258" s="61"/>
      <c r="K258" s="61"/>
      <c r="L258" s="6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61"/>
      <c r="J259" s="61"/>
      <c r="K259" s="61"/>
      <c r="L259" s="6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61"/>
      <c r="J260" s="61"/>
      <c r="K260" s="61"/>
      <c r="L260" s="6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61"/>
      <c r="J261" s="61"/>
      <c r="K261" s="61"/>
      <c r="L261" s="6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61"/>
      <c r="J262" s="61"/>
      <c r="K262" s="61"/>
      <c r="L262" s="6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61"/>
      <c r="J263" s="61"/>
      <c r="K263" s="61"/>
      <c r="L263" s="6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61"/>
      <c r="J264" s="61"/>
      <c r="K264" s="61"/>
      <c r="L264" s="6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61"/>
      <c r="J265" s="61"/>
      <c r="K265" s="61"/>
      <c r="L265" s="6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61"/>
      <c r="J266" s="61"/>
      <c r="K266" s="61"/>
      <c r="L266" s="6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61"/>
      <c r="J267" s="61"/>
      <c r="K267" s="61"/>
      <c r="L267" s="6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61"/>
      <c r="J268" s="61"/>
      <c r="K268" s="61"/>
      <c r="L268" s="6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61"/>
      <c r="J269" s="61"/>
      <c r="K269" s="61"/>
      <c r="L269" s="6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61"/>
      <c r="J270" s="61"/>
      <c r="K270" s="61"/>
      <c r="L270" s="6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61"/>
      <c r="J271" s="61"/>
      <c r="K271" s="61"/>
      <c r="L271" s="6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61"/>
      <c r="J272" s="61"/>
      <c r="K272" s="61"/>
      <c r="L272" s="6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61"/>
      <c r="J273" s="61"/>
      <c r="K273" s="61"/>
      <c r="L273" s="6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61"/>
      <c r="J274" s="61"/>
      <c r="K274" s="61"/>
      <c r="L274" s="6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61"/>
      <c r="J275" s="61"/>
      <c r="K275" s="61"/>
      <c r="L275" s="6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61"/>
      <c r="J276" s="61"/>
      <c r="K276" s="61"/>
      <c r="L276" s="6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61"/>
      <c r="J277" s="61"/>
      <c r="K277" s="61"/>
      <c r="L277" s="6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61"/>
      <c r="J278" s="61"/>
      <c r="K278" s="61"/>
      <c r="L278" s="6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61"/>
      <c r="J279" s="61"/>
      <c r="K279" s="61"/>
      <c r="L279" s="6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61"/>
      <c r="J280" s="61"/>
      <c r="K280" s="61"/>
      <c r="L280" s="6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61"/>
      <c r="J281" s="61"/>
      <c r="K281" s="61"/>
      <c r="L281" s="6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61"/>
      <c r="J282" s="61"/>
      <c r="K282" s="61"/>
      <c r="L282" s="6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61"/>
      <c r="J283" s="61"/>
      <c r="K283" s="61"/>
      <c r="L283" s="6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61"/>
      <c r="J284" s="61"/>
      <c r="K284" s="61"/>
      <c r="L284" s="6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61"/>
      <c r="J285" s="61"/>
      <c r="K285" s="61"/>
      <c r="L285" s="6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61"/>
      <c r="J286" s="61"/>
      <c r="K286" s="61"/>
      <c r="L286" s="6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61"/>
      <c r="J287" s="61"/>
      <c r="K287" s="61"/>
      <c r="L287" s="6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61"/>
      <c r="J288" s="61"/>
      <c r="K288" s="61"/>
      <c r="L288" s="6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61"/>
      <c r="J289" s="61"/>
      <c r="K289" s="61"/>
      <c r="L289" s="6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61"/>
      <c r="J290" s="61"/>
      <c r="K290" s="61"/>
      <c r="L290" s="6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61"/>
      <c r="J291" s="61"/>
      <c r="K291" s="61"/>
      <c r="L291" s="6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61"/>
      <c r="J292" s="61"/>
      <c r="K292" s="61"/>
      <c r="L292" s="6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61"/>
      <c r="J293" s="61"/>
      <c r="K293" s="61"/>
      <c r="L293" s="6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61"/>
      <c r="J294" s="61"/>
      <c r="K294" s="61"/>
      <c r="L294" s="6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61"/>
      <c r="J295" s="61"/>
      <c r="K295" s="61"/>
      <c r="L295" s="6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61"/>
      <c r="J296" s="61"/>
      <c r="K296" s="61"/>
      <c r="L296" s="6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61"/>
      <c r="J297" s="61"/>
      <c r="K297" s="61"/>
      <c r="L297" s="6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61"/>
      <c r="J298" s="61"/>
      <c r="K298" s="61"/>
      <c r="L298" s="6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61"/>
      <c r="J299" s="61"/>
      <c r="K299" s="61"/>
      <c r="L299" s="6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61"/>
      <c r="J300" s="61"/>
      <c r="K300" s="61"/>
      <c r="L300" s="6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61"/>
      <c r="J301" s="61"/>
      <c r="K301" s="61"/>
      <c r="L301" s="6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61"/>
      <c r="J302" s="61"/>
      <c r="K302" s="61"/>
      <c r="L302" s="6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61"/>
      <c r="J303" s="61"/>
      <c r="K303" s="61"/>
      <c r="L303" s="6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61"/>
      <c r="J304" s="61"/>
      <c r="K304" s="61"/>
      <c r="L304" s="6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61"/>
      <c r="J305" s="61"/>
      <c r="K305" s="61"/>
      <c r="L305" s="6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61"/>
      <c r="J306" s="61"/>
      <c r="K306" s="61"/>
      <c r="L306" s="6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61"/>
      <c r="J307" s="61"/>
      <c r="K307" s="61"/>
      <c r="L307" s="6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61"/>
      <c r="J308" s="61"/>
      <c r="K308" s="61"/>
      <c r="L308" s="6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61"/>
      <c r="J309" s="61"/>
      <c r="K309" s="61"/>
      <c r="L309" s="6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61"/>
      <c r="J310" s="61"/>
      <c r="K310" s="61"/>
      <c r="L310" s="6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61"/>
      <c r="J311" s="61"/>
      <c r="K311" s="61"/>
      <c r="L311" s="6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61"/>
      <c r="J312" s="61"/>
      <c r="K312" s="61"/>
      <c r="L312" s="6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61"/>
      <c r="J313" s="61"/>
      <c r="K313" s="61"/>
      <c r="L313" s="6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61"/>
      <c r="J314" s="61"/>
      <c r="K314" s="61"/>
      <c r="L314" s="6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61"/>
      <c r="J315" s="61"/>
      <c r="K315" s="61"/>
      <c r="L315" s="6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61"/>
      <c r="J316" s="61"/>
      <c r="K316" s="61"/>
      <c r="L316" s="6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61"/>
      <c r="J317" s="61"/>
      <c r="K317" s="61"/>
      <c r="L317" s="6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61"/>
      <c r="J318" s="61"/>
      <c r="K318" s="61"/>
      <c r="L318" s="6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61"/>
      <c r="J319" s="61"/>
      <c r="K319" s="61"/>
      <c r="L319" s="6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61"/>
      <c r="J320" s="61"/>
      <c r="K320" s="61"/>
      <c r="L320" s="6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61"/>
      <c r="J321" s="61"/>
      <c r="K321" s="61"/>
      <c r="L321" s="6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61"/>
      <c r="J322" s="61"/>
      <c r="K322" s="61"/>
      <c r="L322" s="6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61"/>
      <c r="J323" s="61"/>
      <c r="K323" s="61"/>
      <c r="L323" s="6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61"/>
      <c r="J324" s="61"/>
      <c r="K324" s="61"/>
      <c r="L324" s="6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61"/>
      <c r="J325" s="61"/>
      <c r="K325" s="61"/>
      <c r="L325" s="6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61"/>
      <c r="J326" s="61"/>
      <c r="K326" s="61"/>
      <c r="L326" s="6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61"/>
      <c r="J327" s="61"/>
      <c r="K327" s="61"/>
      <c r="L327" s="6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61"/>
      <c r="J328" s="61"/>
      <c r="K328" s="61"/>
      <c r="L328" s="6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61"/>
      <c r="J329" s="61"/>
      <c r="K329" s="61"/>
      <c r="L329" s="6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61"/>
      <c r="J330" s="61"/>
      <c r="K330" s="61"/>
      <c r="L330" s="6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61"/>
      <c r="J331" s="61"/>
      <c r="K331" s="61"/>
      <c r="L331" s="6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61"/>
      <c r="J332" s="61"/>
      <c r="K332" s="61"/>
      <c r="L332" s="6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61"/>
      <c r="J333" s="61"/>
      <c r="K333" s="61"/>
      <c r="L333" s="6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61"/>
      <c r="J334" s="61"/>
      <c r="K334" s="61"/>
      <c r="L334" s="6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61"/>
      <c r="J335" s="61"/>
      <c r="K335" s="61"/>
      <c r="L335" s="6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61"/>
      <c r="J336" s="61"/>
      <c r="K336" s="61"/>
      <c r="L336" s="6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61"/>
      <c r="J337" s="61"/>
      <c r="K337" s="61"/>
      <c r="L337" s="6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61"/>
      <c r="J338" s="61"/>
      <c r="K338" s="61"/>
      <c r="L338" s="6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61"/>
      <c r="J339" s="61"/>
      <c r="K339" s="61"/>
      <c r="L339" s="6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61"/>
      <c r="J340" s="61"/>
      <c r="K340" s="61"/>
      <c r="L340" s="6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61"/>
      <c r="J341" s="61"/>
      <c r="K341" s="61"/>
      <c r="L341" s="6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61"/>
      <c r="J342" s="61"/>
      <c r="K342" s="61"/>
      <c r="L342" s="6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61"/>
      <c r="J343" s="61"/>
      <c r="K343" s="61"/>
      <c r="L343" s="6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61"/>
      <c r="J344" s="61"/>
      <c r="K344" s="61"/>
      <c r="L344" s="6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61"/>
      <c r="J345" s="61"/>
      <c r="K345" s="61"/>
      <c r="L345" s="6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61"/>
      <c r="J346" s="61"/>
      <c r="K346" s="61"/>
      <c r="L346" s="6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61"/>
      <c r="J347" s="61"/>
      <c r="K347" s="61"/>
      <c r="L347" s="6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61"/>
      <c r="J348" s="61"/>
      <c r="K348" s="61"/>
      <c r="L348" s="6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61"/>
      <c r="J349" s="61"/>
      <c r="K349" s="61"/>
      <c r="L349" s="6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61"/>
      <c r="J350" s="61"/>
      <c r="K350" s="61"/>
      <c r="L350" s="6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61"/>
      <c r="J351" s="61"/>
      <c r="K351" s="61"/>
      <c r="L351" s="6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61"/>
      <c r="J352" s="61"/>
      <c r="K352" s="61"/>
      <c r="L352" s="6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61"/>
      <c r="J353" s="61"/>
      <c r="K353" s="61"/>
      <c r="L353" s="6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61"/>
      <c r="J354" s="61"/>
      <c r="K354" s="61"/>
      <c r="L354" s="6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61"/>
      <c r="J355" s="61"/>
      <c r="K355" s="61"/>
      <c r="L355" s="6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61"/>
      <c r="J356" s="61"/>
      <c r="K356" s="61"/>
      <c r="L356" s="6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61"/>
      <c r="J357" s="61"/>
      <c r="K357" s="61"/>
      <c r="L357" s="6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61"/>
      <c r="J358" s="61"/>
      <c r="K358" s="61"/>
      <c r="L358" s="6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61"/>
      <c r="J359" s="61"/>
      <c r="K359" s="61"/>
      <c r="L359" s="6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61"/>
      <c r="J360" s="61"/>
      <c r="K360" s="61"/>
      <c r="L360" s="6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61"/>
      <c r="J361" s="61"/>
      <c r="K361" s="61"/>
      <c r="L361" s="6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61"/>
      <c r="J362" s="61"/>
      <c r="K362" s="61"/>
      <c r="L362" s="6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61"/>
      <c r="J363" s="61"/>
      <c r="K363" s="61"/>
      <c r="L363" s="6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61"/>
      <c r="J364" s="61"/>
      <c r="K364" s="61"/>
      <c r="L364" s="6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61"/>
      <c r="J365" s="61"/>
      <c r="K365" s="61"/>
      <c r="L365" s="6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61"/>
      <c r="J366" s="61"/>
      <c r="K366" s="61"/>
      <c r="L366" s="6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61"/>
      <c r="J367" s="61"/>
      <c r="K367" s="61"/>
      <c r="L367" s="6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61"/>
      <c r="J368" s="61"/>
      <c r="K368" s="61"/>
      <c r="L368" s="6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61"/>
      <c r="J369" s="61"/>
      <c r="K369" s="61"/>
      <c r="L369" s="6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61"/>
      <c r="J370" s="61"/>
      <c r="K370" s="61"/>
      <c r="L370" s="6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61"/>
      <c r="J371" s="61"/>
      <c r="K371" s="61"/>
      <c r="L371" s="6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61"/>
      <c r="J372" s="61"/>
      <c r="K372" s="61"/>
      <c r="L372" s="6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61"/>
      <c r="J373" s="61"/>
      <c r="K373" s="61"/>
      <c r="L373" s="6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61"/>
      <c r="J374" s="61"/>
      <c r="K374" s="61"/>
      <c r="L374" s="6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61"/>
      <c r="J375" s="61"/>
      <c r="K375" s="61"/>
      <c r="L375" s="6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61"/>
      <c r="J376" s="61"/>
      <c r="K376" s="61"/>
      <c r="L376" s="6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61"/>
      <c r="J377" s="61"/>
      <c r="K377" s="61"/>
      <c r="L377" s="6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61"/>
      <c r="J378" s="61"/>
      <c r="K378" s="61"/>
      <c r="L378" s="6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61"/>
      <c r="J379" s="61"/>
      <c r="K379" s="61"/>
      <c r="L379" s="6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61"/>
      <c r="J380" s="61"/>
      <c r="K380" s="61"/>
      <c r="L380" s="6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61"/>
      <c r="J381" s="61"/>
      <c r="K381" s="61"/>
      <c r="L381" s="6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61"/>
      <c r="J382" s="61"/>
      <c r="K382" s="61"/>
      <c r="L382" s="6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61"/>
      <c r="J383" s="61"/>
      <c r="K383" s="61"/>
      <c r="L383" s="6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61"/>
      <c r="J384" s="61"/>
      <c r="K384" s="61"/>
      <c r="L384" s="6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61"/>
      <c r="J385" s="61"/>
      <c r="K385" s="61"/>
      <c r="L385" s="6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61"/>
      <c r="J386" s="61"/>
      <c r="K386" s="61"/>
      <c r="L386" s="6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61"/>
      <c r="J387" s="61"/>
      <c r="K387" s="61"/>
      <c r="L387" s="6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61"/>
      <c r="J388" s="61"/>
      <c r="K388" s="61"/>
      <c r="L388" s="6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61"/>
      <c r="J389" s="61"/>
      <c r="K389" s="61"/>
      <c r="L389" s="6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61"/>
      <c r="J390" s="61"/>
      <c r="K390" s="61"/>
      <c r="L390" s="6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61"/>
      <c r="J391" s="61"/>
      <c r="K391" s="61"/>
      <c r="L391" s="6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61"/>
      <c r="J392" s="61"/>
      <c r="K392" s="61"/>
      <c r="L392" s="6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61"/>
      <c r="J393" s="61"/>
      <c r="K393" s="61"/>
      <c r="L393" s="6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61"/>
      <c r="J394" s="61"/>
      <c r="K394" s="61"/>
      <c r="L394" s="6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61"/>
      <c r="J395" s="61"/>
      <c r="K395" s="61"/>
      <c r="L395" s="6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61"/>
      <c r="J396" s="61"/>
      <c r="K396" s="61"/>
      <c r="L396" s="6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61"/>
      <c r="J397" s="61"/>
      <c r="K397" s="61"/>
      <c r="L397" s="6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61"/>
      <c r="J398" s="61"/>
      <c r="K398" s="61"/>
      <c r="L398" s="6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61"/>
      <c r="J399" s="61"/>
      <c r="K399" s="61"/>
      <c r="L399" s="6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61"/>
      <c r="J400" s="61"/>
      <c r="K400" s="61"/>
      <c r="L400" s="6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61"/>
      <c r="J401" s="61"/>
      <c r="K401" s="61"/>
      <c r="L401" s="6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61"/>
      <c r="J402" s="61"/>
      <c r="K402" s="61"/>
      <c r="L402" s="6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61"/>
      <c r="J403" s="61"/>
      <c r="K403" s="61"/>
      <c r="L403" s="6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61"/>
      <c r="J404" s="61"/>
      <c r="K404" s="61"/>
      <c r="L404" s="6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61"/>
      <c r="J405" s="61"/>
      <c r="K405" s="61"/>
      <c r="L405" s="6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61"/>
      <c r="J406" s="61"/>
      <c r="K406" s="61"/>
      <c r="L406" s="6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61"/>
      <c r="J407" s="61"/>
      <c r="K407" s="61"/>
      <c r="L407" s="6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61"/>
      <c r="J408" s="61"/>
      <c r="K408" s="61"/>
      <c r="L408" s="6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61"/>
      <c r="J409" s="61"/>
      <c r="K409" s="61"/>
      <c r="L409" s="6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61"/>
      <c r="J410" s="61"/>
      <c r="K410" s="61"/>
      <c r="L410" s="6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61"/>
      <c r="J411" s="61"/>
      <c r="K411" s="61"/>
      <c r="L411" s="6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61"/>
      <c r="J412" s="61"/>
      <c r="K412" s="61"/>
      <c r="L412" s="6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61"/>
      <c r="J413" s="61"/>
      <c r="K413" s="61"/>
      <c r="L413" s="6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61"/>
      <c r="J414" s="61"/>
      <c r="K414" s="61"/>
      <c r="L414" s="6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61"/>
      <c r="J415" s="61"/>
      <c r="K415" s="61"/>
      <c r="L415" s="6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61"/>
      <c r="J416" s="61"/>
      <c r="K416" s="61"/>
      <c r="L416" s="6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61"/>
      <c r="J417" s="61"/>
      <c r="K417" s="61"/>
      <c r="L417" s="6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61"/>
      <c r="J418" s="61"/>
      <c r="K418" s="61"/>
      <c r="L418" s="6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61"/>
      <c r="J419" s="61"/>
      <c r="K419" s="61"/>
      <c r="L419" s="6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61"/>
      <c r="J420" s="61"/>
      <c r="K420" s="61"/>
      <c r="L420" s="6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61"/>
      <c r="J421" s="61"/>
      <c r="K421" s="61"/>
      <c r="L421" s="6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61"/>
      <c r="J422" s="61"/>
      <c r="K422" s="61"/>
      <c r="L422" s="6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61"/>
      <c r="J423" s="61"/>
      <c r="K423" s="61"/>
      <c r="L423" s="6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61"/>
      <c r="J424" s="61"/>
      <c r="K424" s="61"/>
      <c r="L424" s="6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61"/>
      <c r="J425" s="61"/>
      <c r="K425" s="61"/>
      <c r="L425" s="6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61"/>
      <c r="J426" s="61"/>
      <c r="K426" s="61"/>
      <c r="L426" s="6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61"/>
      <c r="J427" s="61"/>
      <c r="K427" s="61"/>
      <c r="L427" s="6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61"/>
      <c r="J428" s="61"/>
      <c r="K428" s="61"/>
      <c r="L428" s="6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61"/>
      <c r="J429" s="61"/>
      <c r="K429" s="61"/>
      <c r="L429" s="6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61"/>
      <c r="J430" s="61"/>
      <c r="K430" s="61"/>
      <c r="L430" s="6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61"/>
      <c r="J431" s="61"/>
      <c r="K431" s="61"/>
      <c r="L431" s="6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61"/>
      <c r="J432" s="61"/>
      <c r="K432" s="61"/>
      <c r="L432" s="6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61"/>
      <c r="J433" s="61"/>
      <c r="K433" s="61"/>
      <c r="L433" s="6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61"/>
      <c r="J434" s="61"/>
      <c r="K434" s="61"/>
      <c r="L434" s="6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61"/>
      <c r="J435" s="61"/>
      <c r="K435" s="61"/>
      <c r="L435" s="6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61"/>
      <c r="J436" s="61"/>
      <c r="K436" s="61"/>
      <c r="L436" s="6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61"/>
      <c r="J437" s="61"/>
      <c r="K437" s="61"/>
      <c r="L437" s="6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61"/>
      <c r="J438" s="61"/>
      <c r="K438" s="61"/>
      <c r="L438" s="6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61"/>
      <c r="J439" s="61"/>
      <c r="K439" s="61"/>
      <c r="L439" s="6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61"/>
      <c r="J440" s="61"/>
      <c r="K440" s="61"/>
      <c r="L440" s="6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61"/>
      <c r="J441" s="61"/>
      <c r="K441" s="61"/>
      <c r="L441" s="6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61"/>
      <c r="J442" s="61"/>
      <c r="K442" s="61"/>
      <c r="L442" s="6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61"/>
      <c r="J443" s="61"/>
      <c r="K443" s="61"/>
      <c r="L443" s="6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61"/>
      <c r="J444" s="61"/>
      <c r="K444" s="61"/>
      <c r="L444" s="6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61"/>
      <c r="J445" s="61"/>
      <c r="K445" s="61"/>
      <c r="L445" s="6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61"/>
      <c r="J446" s="61"/>
      <c r="K446" s="61"/>
      <c r="L446" s="6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61"/>
      <c r="J447" s="61"/>
      <c r="K447" s="61"/>
      <c r="L447" s="6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61"/>
      <c r="J448" s="61"/>
      <c r="K448" s="61"/>
      <c r="L448" s="6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61"/>
      <c r="J449" s="61"/>
      <c r="K449" s="61"/>
      <c r="L449" s="6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61"/>
      <c r="J450" s="61"/>
      <c r="K450" s="61"/>
      <c r="L450" s="6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61"/>
      <c r="J451" s="61"/>
      <c r="K451" s="61"/>
      <c r="L451" s="6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61"/>
      <c r="J452" s="61"/>
      <c r="K452" s="61"/>
      <c r="L452" s="6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61"/>
      <c r="J453" s="61"/>
      <c r="K453" s="61"/>
      <c r="L453" s="6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61"/>
      <c r="J454" s="61"/>
      <c r="K454" s="61"/>
      <c r="L454" s="6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61"/>
      <c r="J455" s="61"/>
      <c r="K455" s="61"/>
      <c r="L455" s="6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61"/>
      <c r="J456" s="61"/>
      <c r="K456" s="61"/>
      <c r="L456" s="6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61"/>
      <c r="J457" s="61"/>
      <c r="K457" s="61"/>
      <c r="L457" s="6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61"/>
      <c r="J458" s="61"/>
      <c r="K458" s="61"/>
      <c r="L458" s="6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61"/>
      <c r="J459" s="61"/>
      <c r="K459" s="61"/>
      <c r="L459" s="6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61"/>
      <c r="J460" s="61"/>
      <c r="K460" s="61"/>
      <c r="L460" s="6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61"/>
      <c r="J461" s="61"/>
      <c r="K461" s="61"/>
      <c r="L461" s="6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61"/>
      <c r="J462" s="61"/>
      <c r="K462" s="61"/>
      <c r="L462" s="6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61"/>
      <c r="J463" s="61"/>
      <c r="K463" s="61"/>
      <c r="L463" s="6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61"/>
      <c r="J464" s="61"/>
      <c r="K464" s="61"/>
      <c r="L464" s="6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61"/>
      <c r="J465" s="61"/>
      <c r="K465" s="61"/>
      <c r="L465" s="6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61"/>
      <c r="J466" s="61"/>
      <c r="K466" s="61"/>
      <c r="L466" s="6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61"/>
      <c r="J467" s="61"/>
      <c r="K467" s="61"/>
      <c r="L467" s="6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61"/>
      <c r="J468" s="61"/>
      <c r="K468" s="61"/>
      <c r="L468" s="6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61"/>
      <c r="J469" s="61"/>
      <c r="K469" s="61"/>
      <c r="L469" s="6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61"/>
      <c r="J470" s="61"/>
      <c r="K470" s="61"/>
      <c r="L470" s="6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61"/>
      <c r="J471" s="61"/>
      <c r="K471" s="61"/>
      <c r="L471" s="6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61"/>
      <c r="J472" s="61"/>
      <c r="K472" s="61"/>
      <c r="L472" s="6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61"/>
      <c r="J473" s="61"/>
      <c r="K473" s="61"/>
      <c r="L473" s="6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61"/>
      <c r="J474" s="61"/>
      <c r="K474" s="61"/>
      <c r="L474" s="6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61"/>
      <c r="J475" s="61"/>
      <c r="K475" s="61"/>
      <c r="L475" s="6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61"/>
      <c r="J476" s="61"/>
      <c r="K476" s="61"/>
      <c r="L476" s="6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61"/>
      <c r="J477" s="61"/>
      <c r="K477" s="61"/>
      <c r="L477" s="6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61"/>
      <c r="J478" s="61"/>
      <c r="K478" s="61"/>
      <c r="L478" s="6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61"/>
      <c r="J479" s="61"/>
      <c r="K479" s="61"/>
      <c r="L479" s="6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61"/>
      <c r="J480" s="61"/>
      <c r="K480" s="61"/>
      <c r="L480" s="6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61"/>
      <c r="J481" s="61"/>
      <c r="K481" s="61"/>
      <c r="L481" s="6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61"/>
      <c r="J482" s="61"/>
      <c r="K482" s="61"/>
      <c r="L482" s="6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61"/>
      <c r="J483" s="61"/>
      <c r="K483" s="61"/>
      <c r="L483" s="6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61"/>
      <c r="J484" s="61"/>
      <c r="K484" s="61"/>
      <c r="L484" s="6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61"/>
      <c r="J485" s="61"/>
      <c r="K485" s="61"/>
      <c r="L485" s="6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61"/>
      <c r="J486" s="61"/>
      <c r="K486" s="61"/>
      <c r="L486" s="6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61"/>
      <c r="J487" s="61"/>
      <c r="K487" s="61"/>
      <c r="L487" s="6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61"/>
      <c r="J488" s="61"/>
      <c r="K488" s="61"/>
      <c r="L488" s="6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61"/>
      <c r="J489" s="61"/>
      <c r="K489" s="61"/>
      <c r="L489" s="6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61"/>
      <c r="J490" s="61"/>
      <c r="K490" s="61"/>
      <c r="L490" s="6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61"/>
      <c r="J491" s="61"/>
      <c r="K491" s="61"/>
      <c r="L491" s="6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61"/>
      <c r="J492" s="61"/>
      <c r="K492" s="61"/>
      <c r="L492" s="6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61"/>
      <c r="J493" s="61"/>
      <c r="K493" s="61"/>
      <c r="L493" s="6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61"/>
      <c r="J494" s="61"/>
      <c r="K494" s="61"/>
      <c r="L494" s="6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61"/>
      <c r="J495" s="61"/>
      <c r="K495" s="61"/>
      <c r="L495" s="6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61"/>
      <c r="J496" s="61"/>
      <c r="K496" s="61"/>
      <c r="L496" s="6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61"/>
      <c r="J497" s="61"/>
      <c r="K497" s="61"/>
      <c r="L497" s="6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61"/>
      <c r="J498" s="61"/>
      <c r="K498" s="61"/>
      <c r="L498" s="6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61"/>
      <c r="J499" s="61"/>
      <c r="K499" s="61"/>
      <c r="L499" s="6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61"/>
      <c r="J500" s="61"/>
      <c r="K500" s="61"/>
      <c r="L500" s="6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61"/>
      <c r="J501" s="61"/>
      <c r="K501" s="61"/>
      <c r="L501" s="6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61"/>
      <c r="J502" s="61"/>
      <c r="K502" s="61"/>
      <c r="L502" s="6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61"/>
      <c r="J503" s="61"/>
      <c r="K503" s="61"/>
      <c r="L503" s="6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61"/>
      <c r="J504" s="61"/>
      <c r="K504" s="61"/>
      <c r="L504" s="6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61"/>
      <c r="J505" s="61"/>
      <c r="K505" s="61"/>
      <c r="L505" s="6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61"/>
      <c r="J506" s="61"/>
      <c r="K506" s="61"/>
      <c r="L506" s="6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61"/>
      <c r="J507" s="61"/>
      <c r="K507" s="61"/>
      <c r="L507" s="6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61"/>
      <c r="J508" s="61"/>
      <c r="K508" s="61"/>
      <c r="L508" s="6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61"/>
      <c r="J509" s="61"/>
      <c r="K509" s="61"/>
      <c r="L509" s="6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61"/>
      <c r="J510" s="61"/>
      <c r="K510" s="61"/>
      <c r="L510" s="6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61"/>
      <c r="J511" s="61"/>
      <c r="K511" s="61"/>
      <c r="L511" s="6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61"/>
      <c r="J512" s="61"/>
      <c r="K512" s="61"/>
      <c r="L512" s="6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61"/>
      <c r="J513" s="61"/>
      <c r="K513" s="61"/>
      <c r="L513" s="6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61"/>
      <c r="J514" s="61"/>
      <c r="K514" s="61"/>
      <c r="L514" s="6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61"/>
      <c r="J515" s="61"/>
      <c r="K515" s="61"/>
      <c r="L515" s="6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61"/>
      <c r="J516" s="61"/>
      <c r="K516" s="61"/>
      <c r="L516" s="6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61"/>
      <c r="J517" s="61"/>
      <c r="K517" s="61"/>
      <c r="L517" s="6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61"/>
      <c r="J518" s="61"/>
      <c r="K518" s="61"/>
      <c r="L518" s="6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61"/>
      <c r="J519" s="61"/>
      <c r="K519" s="61"/>
      <c r="L519" s="6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61"/>
      <c r="J520" s="61"/>
      <c r="K520" s="61"/>
      <c r="L520" s="6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61"/>
      <c r="J521" s="61"/>
      <c r="K521" s="61"/>
      <c r="L521" s="6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61"/>
      <c r="J522" s="61"/>
      <c r="K522" s="61"/>
      <c r="L522" s="6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61"/>
      <c r="J523" s="61"/>
      <c r="K523" s="61"/>
      <c r="L523" s="6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61"/>
      <c r="J524" s="61"/>
      <c r="K524" s="61"/>
      <c r="L524" s="6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61"/>
      <c r="J525" s="61"/>
      <c r="K525" s="61"/>
      <c r="L525" s="6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61"/>
      <c r="J526" s="61"/>
      <c r="K526" s="61"/>
      <c r="L526" s="6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61"/>
      <c r="J527" s="61"/>
      <c r="K527" s="61"/>
      <c r="L527" s="6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61"/>
      <c r="J528" s="61"/>
      <c r="K528" s="61"/>
      <c r="L528" s="6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61"/>
      <c r="J529" s="61"/>
      <c r="K529" s="61"/>
      <c r="L529" s="6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61"/>
      <c r="J530" s="61"/>
      <c r="K530" s="61"/>
      <c r="L530" s="6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61"/>
      <c r="J531" s="61"/>
      <c r="K531" s="61"/>
      <c r="L531" s="6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61"/>
      <c r="J532" s="61"/>
      <c r="K532" s="61"/>
      <c r="L532" s="6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61"/>
      <c r="J533" s="61"/>
      <c r="K533" s="61"/>
      <c r="L533" s="6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61"/>
      <c r="J534" s="61"/>
      <c r="K534" s="61"/>
      <c r="L534" s="6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61"/>
      <c r="J535" s="61"/>
      <c r="K535" s="61"/>
      <c r="L535" s="6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61"/>
      <c r="J536" s="61"/>
      <c r="K536" s="61"/>
      <c r="L536" s="6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61"/>
      <c r="J537" s="61"/>
      <c r="K537" s="61"/>
      <c r="L537" s="6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61"/>
      <c r="J538" s="61"/>
      <c r="K538" s="61"/>
      <c r="L538" s="6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61"/>
      <c r="J539" s="61"/>
      <c r="K539" s="61"/>
      <c r="L539" s="6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61"/>
      <c r="J540" s="61"/>
      <c r="K540" s="61"/>
      <c r="L540" s="6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61"/>
      <c r="J541" s="61"/>
      <c r="K541" s="61"/>
      <c r="L541" s="6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61"/>
      <c r="J542" s="61"/>
      <c r="K542" s="61"/>
      <c r="L542" s="6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61"/>
      <c r="J543" s="61"/>
      <c r="K543" s="61"/>
      <c r="L543" s="6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61"/>
      <c r="J544" s="61"/>
      <c r="K544" s="61"/>
      <c r="L544" s="6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61"/>
      <c r="J545" s="61"/>
      <c r="K545" s="61"/>
      <c r="L545" s="6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61"/>
      <c r="J546" s="61"/>
      <c r="K546" s="61"/>
      <c r="L546" s="6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61"/>
      <c r="J547" s="61"/>
      <c r="K547" s="61"/>
      <c r="L547" s="6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61"/>
      <c r="J548" s="61"/>
      <c r="K548" s="61"/>
      <c r="L548" s="6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61"/>
      <c r="J549" s="61"/>
      <c r="K549" s="61"/>
      <c r="L549" s="6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61"/>
      <c r="J550" s="61"/>
      <c r="K550" s="61"/>
      <c r="L550" s="6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61"/>
      <c r="J551" s="61"/>
      <c r="K551" s="61"/>
      <c r="L551" s="6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61"/>
      <c r="J552" s="61"/>
      <c r="K552" s="61"/>
      <c r="L552" s="6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61"/>
      <c r="J553" s="61"/>
      <c r="K553" s="61"/>
      <c r="L553" s="6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61"/>
      <c r="J554" s="61"/>
      <c r="K554" s="61"/>
      <c r="L554" s="6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61"/>
      <c r="J555" s="61"/>
      <c r="K555" s="61"/>
      <c r="L555" s="6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61"/>
      <c r="J556" s="61"/>
      <c r="K556" s="61"/>
      <c r="L556" s="6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61"/>
      <c r="J557" s="61"/>
      <c r="K557" s="61"/>
      <c r="L557" s="6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61"/>
      <c r="J558" s="61"/>
      <c r="K558" s="61"/>
      <c r="L558" s="6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61"/>
      <c r="J559" s="61"/>
      <c r="K559" s="61"/>
      <c r="L559" s="6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61"/>
      <c r="J560" s="61"/>
      <c r="K560" s="61"/>
      <c r="L560" s="6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61"/>
      <c r="J561" s="61"/>
      <c r="K561" s="61"/>
      <c r="L561" s="6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61"/>
      <c r="J562" s="61"/>
      <c r="K562" s="61"/>
      <c r="L562" s="6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61"/>
      <c r="J563" s="61"/>
      <c r="K563" s="61"/>
      <c r="L563" s="6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61"/>
      <c r="J564" s="61"/>
      <c r="K564" s="61"/>
      <c r="L564" s="6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61"/>
      <c r="J565" s="61"/>
      <c r="K565" s="61"/>
      <c r="L565" s="6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61"/>
      <c r="J566" s="61"/>
      <c r="K566" s="61"/>
      <c r="L566" s="6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61"/>
      <c r="J567" s="61"/>
      <c r="K567" s="61"/>
      <c r="L567" s="6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61"/>
      <c r="J568" s="61"/>
      <c r="K568" s="61"/>
      <c r="L568" s="6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61"/>
      <c r="J569" s="61"/>
      <c r="K569" s="61"/>
      <c r="L569" s="6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61"/>
      <c r="J570" s="61"/>
      <c r="K570" s="61"/>
      <c r="L570" s="6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61"/>
      <c r="J571" s="61"/>
      <c r="K571" s="61"/>
      <c r="L571" s="6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61"/>
      <c r="J572" s="61"/>
      <c r="K572" s="61"/>
      <c r="L572" s="6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61"/>
      <c r="J573" s="61"/>
      <c r="K573" s="61"/>
      <c r="L573" s="6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61"/>
      <c r="J574" s="61"/>
      <c r="K574" s="61"/>
      <c r="L574" s="6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61"/>
      <c r="J575" s="61"/>
      <c r="K575" s="61"/>
      <c r="L575" s="6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61"/>
      <c r="J576" s="61"/>
      <c r="K576" s="61"/>
      <c r="L576" s="6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61"/>
      <c r="J577" s="61"/>
      <c r="K577" s="61"/>
      <c r="L577" s="6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61"/>
      <c r="J578" s="61"/>
      <c r="K578" s="61"/>
      <c r="L578" s="6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61"/>
      <c r="J579" s="61"/>
      <c r="K579" s="61"/>
      <c r="L579" s="6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61"/>
      <c r="J580" s="61"/>
      <c r="K580" s="61"/>
      <c r="L580" s="6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61"/>
      <c r="J581" s="61"/>
      <c r="K581" s="61"/>
      <c r="L581" s="6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61"/>
      <c r="J582" s="61"/>
      <c r="K582" s="61"/>
      <c r="L582" s="6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61"/>
      <c r="J583" s="61"/>
      <c r="K583" s="61"/>
      <c r="L583" s="6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61"/>
      <c r="J584" s="61"/>
      <c r="K584" s="61"/>
      <c r="L584" s="6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61"/>
      <c r="J585" s="61"/>
      <c r="K585" s="61"/>
      <c r="L585" s="6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61"/>
      <c r="J586" s="61"/>
      <c r="K586" s="61"/>
      <c r="L586" s="6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61"/>
      <c r="J587" s="61"/>
      <c r="K587" s="61"/>
      <c r="L587" s="6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61"/>
      <c r="J588" s="61"/>
      <c r="K588" s="61"/>
      <c r="L588" s="6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61"/>
      <c r="J589" s="61"/>
      <c r="K589" s="61"/>
      <c r="L589" s="6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61"/>
      <c r="J590" s="61"/>
      <c r="K590" s="61"/>
      <c r="L590" s="6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61"/>
      <c r="J591" s="61"/>
      <c r="K591" s="61"/>
      <c r="L591" s="6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61"/>
      <c r="J592" s="61"/>
      <c r="K592" s="61"/>
      <c r="L592" s="6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61"/>
      <c r="J593" s="61"/>
      <c r="K593" s="61"/>
      <c r="L593" s="6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61"/>
      <c r="J594" s="61"/>
      <c r="K594" s="61"/>
      <c r="L594" s="6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61"/>
      <c r="J595" s="61"/>
      <c r="K595" s="61"/>
      <c r="L595" s="6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61"/>
      <c r="J596" s="61"/>
      <c r="K596" s="61"/>
      <c r="L596" s="6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61"/>
      <c r="J597" s="61"/>
      <c r="K597" s="61"/>
      <c r="L597" s="6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61"/>
      <c r="J598" s="61"/>
      <c r="K598" s="61"/>
      <c r="L598" s="6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61"/>
      <c r="J599" s="61"/>
      <c r="K599" s="61"/>
      <c r="L599" s="6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61"/>
      <c r="J600" s="61"/>
      <c r="K600" s="61"/>
      <c r="L600" s="6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61"/>
      <c r="J601" s="61"/>
      <c r="K601" s="61"/>
      <c r="L601" s="6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61"/>
      <c r="J602" s="61"/>
      <c r="K602" s="61"/>
      <c r="L602" s="6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61"/>
      <c r="J603" s="61"/>
      <c r="K603" s="61"/>
      <c r="L603" s="6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61"/>
      <c r="J604" s="61"/>
      <c r="K604" s="61"/>
      <c r="L604" s="6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61"/>
      <c r="J605" s="61"/>
      <c r="K605" s="61"/>
      <c r="L605" s="6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61"/>
      <c r="J606" s="61"/>
      <c r="K606" s="61"/>
      <c r="L606" s="6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61"/>
      <c r="J607" s="61"/>
      <c r="K607" s="61"/>
      <c r="L607" s="6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61"/>
      <c r="J608" s="61"/>
      <c r="K608" s="61"/>
      <c r="L608" s="6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61"/>
      <c r="J609" s="61"/>
      <c r="K609" s="61"/>
      <c r="L609" s="6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61"/>
      <c r="J610" s="61"/>
      <c r="K610" s="61"/>
      <c r="L610" s="6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61"/>
      <c r="J611" s="61"/>
      <c r="K611" s="61"/>
      <c r="L611" s="6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61"/>
      <c r="J612" s="61"/>
      <c r="K612" s="61"/>
      <c r="L612" s="6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61"/>
      <c r="J613" s="61"/>
      <c r="K613" s="61"/>
      <c r="L613" s="6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61"/>
      <c r="J614" s="61"/>
      <c r="K614" s="61"/>
      <c r="L614" s="6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61"/>
      <c r="J615" s="61"/>
      <c r="K615" s="61"/>
      <c r="L615" s="6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61"/>
      <c r="J616" s="61"/>
      <c r="K616" s="61"/>
      <c r="L616" s="6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61"/>
      <c r="J617" s="61"/>
      <c r="K617" s="61"/>
      <c r="L617" s="6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61"/>
      <c r="J618" s="61"/>
      <c r="K618" s="61"/>
      <c r="L618" s="6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61"/>
      <c r="J619" s="61"/>
      <c r="K619" s="61"/>
      <c r="L619" s="6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61"/>
      <c r="J620" s="61"/>
      <c r="K620" s="61"/>
      <c r="L620" s="6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61"/>
      <c r="J621" s="61"/>
      <c r="K621" s="61"/>
      <c r="L621" s="6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61"/>
      <c r="J622" s="61"/>
      <c r="K622" s="61"/>
      <c r="L622" s="6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61"/>
      <c r="J623" s="61"/>
      <c r="K623" s="61"/>
      <c r="L623" s="6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61"/>
      <c r="J624" s="61"/>
      <c r="K624" s="61"/>
      <c r="L624" s="6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61"/>
      <c r="J625" s="61"/>
      <c r="K625" s="61"/>
      <c r="L625" s="6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61"/>
      <c r="J626" s="61"/>
      <c r="K626" s="61"/>
      <c r="L626" s="6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61"/>
      <c r="J627" s="61"/>
      <c r="K627" s="61"/>
      <c r="L627" s="6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61"/>
      <c r="J628" s="61"/>
      <c r="K628" s="61"/>
      <c r="L628" s="6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61"/>
      <c r="J629" s="61"/>
      <c r="K629" s="61"/>
      <c r="L629" s="6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61"/>
      <c r="J630" s="61"/>
      <c r="K630" s="61"/>
      <c r="L630" s="6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61"/>
      <c r="J631" s="61"/>
      <c r="K631" s="61"/>
      <c r="L631" s="6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61"/>
      <c r="J632" s="61"/>
      <c r="K632" s="61"/>
      <c r="L632" s="6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61"/>
      <c r="J633" s="61"/>
      <c r="K633" s="61"/>
      <c r="L633" s="6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61"/>
      <c r="J634" s="61"/>
      <c r="K634" s="61"/>
      <c r="L634" s="6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61"/>
      <c r="J635" s="61"/>
      <c r="K635" s="61"/>
      <c r="L635" s="6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61"/>
      <c r="J636" s="61"/>
      <c r="K636" s="61"/>
      <c r="L636" s="6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61"/>
      <c r="J637" s="61"/>
      <c r="K637" s="61"/>
      <c r="L637" s="6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61"/>
      <c r="J638" s="61"/>
      <c r="K638" s="61"/>
      <c r="L638" s="6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61"/>
      <c r="J639" s="61"/>
      <c r="K639" s="61"/>
      <c r="L639" s="6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61"/>
      <c r="J640" s="61"/>
      <c r="K640" s="61"/>
      <c r="L640" s="6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61"/>
      <c r="J641" s="61"/>
      <c r="K641" s="61"/>
      <c r="L641" s="6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61"/>
      <c r="J642" s="61"/>
      <c r="K642" s="61"/>
      <c r="L642" s="6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61"/>
      <c r="J643" s="61"/>
      <c r="K643" s="61"/>
      <c r="L643" s="6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61"/>
      <c r="J644" s="61"/>
      <c r="K644" s="61"/>
      <c r="L644" s="6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61"/>
      <c r="J645" s="61"/>
      <c r="K645" s="61"/>
      <c r="L645" s="6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61"/>
      <c r="J646" s="61"/>
      <c r="K646" s="61"/>
      <c r="L646" s="6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61"/>
      <c r="J647" s="61"/>
      <c r="K647" s="61"/>
      <c r="L647" s="6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61"/>
      <c r="J648" s="61"/>
      <c r="K648" s="61"/>
      <c r="L648" s="6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61"/>
      <c r="J649" s="61"/>
      <c r="K649" s="61"/>
      <c r="L649" s="6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61"/>
      <c r="J650" s="61"/>
      <c r="K650" s="61"/>
      <c r="L650" s="6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61"/>
      <c r="J651" s="61"/>
      <c r="K651" s="61"/>
      <c r="L651" s="6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61"/>
      <c r="J652" s="61"/>
      <c r="K652" s="61"/>
      <c r="L652" s="6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61"/>
      <c r="J653" s="61"/>
      <c r="K653" s="61"/>
      <c r="L653" s="6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61"/>
      <c r="J654" s="61"/>
      <c r="K654" s="61"/>
      <c r="L654" s="6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61"/>
      <c r="J655" s="61"/>
      <c r="K655" s="61"/>
      <c r="L655" s="6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61"/>
      <c r="J656" s="61"/>
      <c r="K656" s="61"/>
      <c r="L656" s="6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61"/>
      <c r="J657" s="61"/>
      <c r="K657" s="61"/>
      <c r="L657" s="6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61"/>
      <c r="J658" s="61"/>
      <c r="K658" s="61"/>
      <c r="L658" s="6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61"/>
      <c r="J659" s="61"/>
      <c r="K659" s="61"/>
      <c r="L659" s="6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61"/>
      <c r="J660" s="61"/>
      <c r="K660" s="61"/>
      <c r="L660" s="6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61"/>
      <c r="J661" s="61"/>
      <c r="K661" s="61"/>
      <c r="L661" s="6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61"/>
      <c r="J662" s="61"/>
      <c r="K662" s="61"/>
      <c r="L662" s="6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61"/>
      <c r="J663" s="61"/>
      <c r="K663" s="61"/>
      <c r="L663" s="6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61"/>
      <c r="J664" s="61"/>
      <c r="K664" s="61"/>
      <c r="L664" s="6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61"/>
      <c r="J665" s="61"/>
      <c r="K665" s="61"/>
      <c r="L665" s="6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61"/>
      <c r="J666" s="61"/>
      <c r="K666" s="61"/>
      <c r="L666" s="6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61"/>
      <c r="J667" s="61"/>
      <c r="K667" s="61"/>
      <c r="L667" s="6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61"/>
      <c r="J668" s="61"/>
      <c r="K668" s="61"/>
      <c r="L668" s="6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61"/>
      <c r="J669" s="61"/>
      <c r="K669" s="61"/>
      <c r="L669" s="6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61"/>
      <c r="J670" s="61"/>
      <c r="K670" s="61"/>
      <c r="L670" s="6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61"/>
      <c r="J671" s="61"/>
      <c r="K671" s="61"/>
      <c r="L671" s="6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61"/>
      <c r="J672" s="61"/>
      <c r="K672" s="61"/>
      <c r="L672" s="6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61"/>
      <c r="J673" s="61"/>
      <c r="K673" s="61"/>
      <c r="L673" s="6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61"/>
      <c r="J674" s="61"/>
      <c r="K674" s="61"/>
      <c r="L674" s="6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61"/>
      <c r="J675" s="61"/>
      <c r="K675" s="61"/>
      <c r="L675" s="6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61"/>
      <c r="J676" s="61"/>
      <c r="K676" s="61"/>
      <c r="L676" s="6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61"/>
      <c r="J677" s="61"/>
      <c r="K677" s="61"/>
      <c r="L677" s="6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61"/>
      <c r="J678" s="61"/>
      <c r="K678" s="61"/>
      <c r="L678" s="6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61"/>
      <c r="J679" s="61"/>
      <c r="K679" s="61"/>
      <c r="L679" s="6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61"/>
      <c r="J680" s="61"/>
      <c r="K680" s="61"/>
      <c r="L680" s="6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61"/>
      <c r="J681" s="61"/>
      <c r="K681" s="61"/>
      <c r="L681" s="6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61"/>
      <c r="J682" s="61"/>
      <c r="K682" s="61"/>
      <c r="L682" s="6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61"/>
      <c r="J683" s="61"/>
      <c r="K683" s="61"/>
      <c r="L683" s="6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61"/>
      <c r="J684" s="61"/>
      <c r="K684" s="61"/>
      <c r="L684" s="6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61"/>
      <c r="J685" s="61"/>
      <c r="K685" s="61"/>
      <c r="L685" s="6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61"/>
      <c r="J686" s="61"/>
      <c r="K686" s="61"/>
      <c r="L686" s="6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61"/>
      <c r="J687" s="61"/>
      <c r="K687" s="61"/>
      <c r="L687" s="6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61"/>
      <c r="J688" s="61"/>
      <c r="K688" s="61"/>
      <c r="L688" s="6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61"/>
      <c r="J689" s="61"/>
      <c r="K689" s="61"/>
      <c r="L689" s="6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61"/>
      <c r="J690" s="61"/>
      <c r="K690" s="61"/>
      <c r="L690" s="6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61"/>
      <c r="J691" s="61"/>
      <c r="K691" s="61"/>
      <c r="L691" s="6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61"/>
      <c r="J692" s="61"/>
      <c r="K692" s="61"/>
      <c r="L692" s="6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61"/>
      <c r="J693" s="61"/>
      <c r="K693" s="61"/>
      <c r="L693" s="6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61"/>
      <c r="J694" s="61"/>
      <c r="K694" s="61"/>
      <c r="L694" s="6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61"/>
      <c r="J695" s="61"/>
      <c r="K695" s="61"/>
      <c r="L695" s="6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61"/>
      <c r="J696" s="61"/>
      <c r="K696" s="61"/>
      <c r="L696" s="6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61"/>
      <c r="J697" s="61"/>
      <c r="K697" s="61"/>
      <c r="L697" s="6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61"/>
      <c r="J698" s="61"/>
      <c r="K698" s="61"/>
      <c r="L698" s="6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61"/>
      <c r="J699" s="61"/>
      <c r="K699" s="61"/>
      <c r="L699" s="6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61"/>
      <c r="J700" s="61"/>
      <c r="K700" s="61"/>
      <c r="L700" s="6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61"/>
      <c r="J701" s="61"/>
      <c r="K701" s="61"/>
      <c r="L701" s="6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61"/>
      <c r="J702" s="61"/>
      <c r="K702" s="61"/>
      <c r="L702" s="6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61"/>
      <c r="J703" s="61"/>
      <c r="K703" s="61"/>
      <c r="L703" s="6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61"/>
      <c r="J704" s="61"/>
      <c r="K704" s="61"/>
      <c r="L704" s="6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61"/>
      <c r="J705" s="61"/>
      <c r="K705" s="61"/>
      <c r="L705" s="6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61"/>
      <c r="J706" s="61"/>
      <c r="K706" s="61"/>
      <c r="L706" s="6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61"/>
      <c r="J707" s="61"/>
      <c r="K707" s="61"/>
      <c r="L707" s="6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61"/>
      <c r="J708" s="61"/>
      <c r="K708" s="61"/>
      <c r="L708" s="6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61"/>
      <c r="J709" s="61"/>
      <c r="K709" s="61"/>
      <c r="L709" s="6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61"/>
      <c r="J710" s="61"/>
      <c r="K710" s="61"/>
      <c r="L710" s="6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61"/>
      <c r="J711" s="61"/>
      <c r="K711" s="61"/>
      <c r="L711" s="6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61"/>
      <c r="J712" s="61"/>
      <c r="K712" s="61"/>
      <c r="L712" s="6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61"/>
      <c r="J713" s="61"/>
      <c r="K713" s="61"/>
      <c r="L713" s="6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61"/>
      <c r="J714" s="61"/>
      <c r="K714" s="61"/>
      <c r="L714" s="6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61"/>
      <c r="J715" s="61"/>
      <c r="K715" s="61"/>
      <c r="L715" s="6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61"/>
      <c r="J716" s="61"/>
      <c r="K716" s="61"/>
      <c r="L716" s="6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61"/>
      <c r="J717" s="61"/>
      <c r="K717" s="61"/>
      <c r="L717" s="6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61"/>
      <c r="J718" s="61"/>
      <c r="K718" s="61"/>
      <c r="L718" s="6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61"/>
      <c r="J719" s="61"/>
      <c r="K719" s="61"/>
      <c r="L719" s="6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61"/>
      <c r="J720" s="61"/>
      <c r="K720" s="61"/>
      <c r="L720" s="6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61"/>
      <c r="J721" s="61"/>
      <c r="K721" s="61"/>
      <c r="L721" s="6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61"/>
      <c r="J722" s="61"/>
      <c r="K722" s="61"/>
      <c r="L722" s="6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61"/>
      <c r="J723" s="61"/>
      <c r="K723" s="61"/>
      <c r="L723" s="6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61"/>
      <c r="J724" s="61"/>
      <c r="K724" s="61"/>
      <c r="L724" s="6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61"/>
      <c r="J725" s="61"/>
      <c r="K725" s="61"/>
      <c r="L725" s="6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61"/>
      <c r="J726" s="61"/>
      <c r="K726" s="61"/>
      <c r="L726" s="6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61"/>
      <c r="J727" s="61"/>
      <c r="K727" s="61"/>
      <c r="L727" s="6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61"/>
      <c r="J728" s="61"/>
      <c r="K728" s="61"/>
      <c r="L728" s="6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61"/>
      <c r="J729" s="61"/>
      <c r="K729" s="61"/>
      <c r="L729" s="6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61"/>
      <c r="J730" s="61"/>
      <c r="K730" s="61"/>
      <c r="L730" s="6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61"/>
      <c r="J731" s="61"/>
      <c r="K731" s="61"/>
      <c r="L731" s="6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61"/>
      <c r="J732" s="61"/>
      <c r="K732" s="61"/>
      <c r="L732" s="6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61"/>
      <c r="J733" s="61"/>
      <c r="K733" s="61"/>
      <c r="L733" s="6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61"/>
      <c r="J734" s="61"/>
      <c r="K734" s="61"/>
      <c r="L734" s="6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61"/>
      <c r="J735" s="61"/>
      <c r="K735" s="61"/>
      <c r="L735" s="6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61"/>
      <c r="J736" s="61"/>
      <c r="K736" s="61"/>
      <c r="L736" s="6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61"/>
      <c r="J737" s="61"/>
      <c r="K737" s="61"/>
      <c r="L737" s="6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61"/>
      <c r="J738" s="61"/>
      <c r="K738" s="61"/>
      <c r="L738" s="6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61"/>
      <c r="J739" s="61"/>
      <c r="K739" s="61"/>
      <c r="L739" s="6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61"/>
      <c r="J740" s="61"/>
      <c r="K740" s="61"/>
      <c r="L740" s="6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61"/>
      <c r="J741" s="61"/>
      <c r="K741" s="61"/>
      <c r="L741" s="6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61"/>
      <c r="J742" s="61"/>
      <c r="K742" s="61"/>
      <c r="L742" s="6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61"/>
      <c r="J743" s="61"/>
      <c r="K743" s="61"/>
      <c r="L743" s="6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61"/>
      <c r="J744" s="61"/>
      <c r="K744" s="61"/>
      <c r="L744" s="6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61"/>
      <c r="J745" s="61"/>
      <c r="K745" s="61"/>
      <c r="L745" s="6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61"/>
      <c r="J746" s="61"/>
      <c r="K746" s="61"/>
      <c r="L746" s="6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61"/>
      <c r="J747" s="61"/>
      <c r="K747" s="61"/>
      <c r="L747" s="6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61"/>
      <c r="J748" s="61"/>
      <c r="K748" s="61"/>
      <c r="L748" s="6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61"/>
      <c r="J749" s="61"/>
      <c r="K749" s="61"/>
      <c r="L749" s="6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61"/>
      <c r="J750" s="61"/>
      <c r="K750" s="61"/>
      <c r="L750" s="6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61"/>
      <c r="J751" s="61"/>
      <c r="K751" s="61"/>
      <c r="L751" s="6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61"/>
      <c r="J752" s="61"/>
      <c r="K752" s="61"/>
      <c r="L752" s="6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61"/>
      <c r="J753" s="61"/>
      <c r="K753" s="61"/>
      <c r="L753" s="6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61"/>
      <c r="J754" s="61"/>
      <c r="K754" s="61"/>
      <c r="L754" s="6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61"/>
      <c r="J755" s="61"/>
      <c r="K755" s="61"/>
      <c r="L755" s="6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61"/>
      <c r="J756" s="61"/>
      <c r="K756" s="61"/>
      <c r="L756" s="6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61"/>
      <c r="J757" s="61"/>
      <c r="K757" s="61"/>
      <c r="L757" s="6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61"/>
      <c r="J758" s="61"/>
      <c r="K758" s="61"/>
      <c r="L758" s="6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61"/>
      <c r="J759" s="61"/>
      <c r="K759" s="61"/>
      <c r="L759" s="6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61"/>
      <c r="J760" s="61"/>
      <c r="K760" s="61"/>
      <c r="L760" s="6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61"/>
      <c r="J761" s="61"/>
      <c r="K761" s="61"/>
      <c r="L761" s="6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61"/>
      <c r="J762" s="61"/>
      <c r="K762" s="61"/>
      <c r="L762" s="6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61"/>
      <c r="J763" s="61"/>
      <c r="K763" s="61"/>
      <c r="L763" s="6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61"/>
      <c r="J764" s="61"/>
      <c r="K764" s="61"/>
      <c r="L764" s="6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61"/>
      <c r="J765" s="61"/>
      <c r="K765" s="61"/>
      <c r="L765" s="6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61"/>
      <c r="J766" s="61"/>
      <c r="K766" s="61"/>
      <c r="L766" s="6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61"/>
      <c r="J767" s="61"/>
      <c r="K767" s="61"/>
      <c r="L767" s="6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61"/>
      <c r="J768" s="61"/>
      <c r="K768" s="61"/>
      <c r="L768" s="6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61"/>
      <c r="J769" s="61"/>
      <c r="K769" s="61"/>
      <c r="L769" s="6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61"/>
      <c r="J770" s="61"/>
      <c r="K770" s="61"/>
      <c r="L770" s="6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61"/>
      <c r="J771" s="61"/>
      <c r="K771" s="61"/>
      <c r="L771" s="6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61"/>
      <c r="J772" s="61"/>
      <c r="K772" s="61"/>
      <c r="L772" s="6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61"/>
      <c r="J773" s="61"/>
      <c r="K773" s="61"/>
      <c r="L773" s="6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61"/>
      <c r="J774" s="61"/>
      <c r="K774" s="61"/>
      <c r="L774" s="6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61"/>
      <c r="J775" s="61"/>
      <c r="K775" s="61"/>
      <c r="L775" s="6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61"/>
      <c r="J776" s="61"/>
      <c r="K776" s="61"/>
      <c r="L776" s="6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61"/>
      <c r="J777" s="61"/>
      <c r="K777" s="61"/>
      <c r="L777" s="6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61"/>
      <c r="J778" s="61"/>
      <c r="K778" s="61"/>
      <c r="L778" s="6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61"/>
      <c r="J779" s="61"/>
      <c r="K779" s="61"/>
      <c r="L779" s="6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61"/>
      <c r="J780" s="61"/>
      <c r="K780" s="61"/>
      <c r="L780" s="6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61"/>
      <c r="J781" s="61"/>
      <c r="K781" s="61"/>
      <c r="L781" s="6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61"/>
      <c r="J782" s="61"/>
      <c r="K782" s="61"/>
      <c r="L782" s="6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61"/>
      <c r="J783" s="61"/>
      <c r="K783" s="61"/>
      <c r="L783" s="6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61"/>
      <c r="J784" s="61"/>
      <c r="K784" s="61"/>
      <c r="L784" s="6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61"/>
      <c r="J785" s="61"/>
      <c r="K785" s="61"/>
      <c r="L785" s="6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61"/>
      <c r="J786" s="61"/>
      <c r="K786" s="61"/>
      <c r="L786" s="6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61"/>
      <c r="J787" s="61"/>
      <c r="K787" s="61"/>
      <c r="L787" s="6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61"/>
      <c r="J788" s="61"/>
      <c r="K788" s="61"/>
      <c r="L788" s="6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61"/>
      <c r="J789" s="61"/>
      <c r="K789" s="61"/>
      <c r="L789" s="6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61"/>
      <c r="J790" s="61"/>
      <c r="K790" s="61"/>
      <c r="L790" s="6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61"/>
      <c r="J791" s="61"/>
      <c r="K791" s="61"/>
      <c r="L791" s="6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61"/>
      <c r="J792" s="61"/>
      <c r="K792" s="61"/>
      <c r="L792" s="6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61"/>
      <c r="J793" s="61"/>
      <c r="K793" s="61"/>
      <c r="L793" s="6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61"/>
      <c r="J794" s="61"/>
      <c r="K794" s="61"/>
      <c r="L794" s="6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61"/>
      <c r="J795" s="61"/>
      <c r="K795" s="61"/>
      <c r="L795" s="6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61"/>
      <c r="J796" s="61"/>
      <c r="K796" s="61"/>
      <c r="L796" s="6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61"/>
      <c r="J797" s="61"/>
      <c r="K797" s="61"/>
      <c r="L797" s="6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61"/>
      <c r="J798" s="61"/>
      <c r="K798" s="61"/>
      <c r="L798" s="6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61"/>
      <c r="J799" s="61"/>
      <c r="K799" s="61"/>
      <c r="L799" s="6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61"/>
      <c r="J800" s="61"/>
      <c r="K800" s="61"/>
      <c r="L800" s="6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61"/>
      <c r="J801" s="61"/>
      <c r="K801" s="61"/>
      <c r="L801" s="6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61"/>
      <c r="J802" s="61"/>
      <c r="K802" s="61"/>
      <c r="L802" s="6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61"/>
      <c r="J803" s="61"/>
      <c r="K803" s="61"/>
      <c r="L803" s="6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61"/>
      <c r="J804" s="61"/>
      <c r="K804" s="61"/>
      <c r="L804" s="6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61"/>
      <c r="J805" s="61"/>
      <c r="K805" s="61"/>
      <c r="L805" s="6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61"/>
      <c r="J806" s="61"/>
      <c r="K806" s="61"/>
      <c r="L806" s="6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61"/>
      <c r="J807" s="61"/>
      <c r="K807" s="61"/>
      <c r="L807" s="6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61"/>
      <c r="J808" s="61"/>
      <c r="K808" s="61"/>
      <c r="L808" s="6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61"/>
      <c r="J809" s="61"/>
      <c r="K809" s="61"/>
      <c r="L809" s="6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61"/>
      <c r="J810" s="61"/>
      <c r="K810" s="61"/>
      <c r="L810" s="6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61"/>
      <c r="J811" s="61"/>
      <c r="K811" s="61"/>
      <c r="L811" s="6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61"/>
      <c r="J812" s="61"/>
      <c r="K812" s="61"/>
      <c r="L812" s="6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61"/>
      <c r="J813" s="61"/>
      <c r="K813" s="61"/>
      <c r="L813" s="6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61"/>
      <c r="J814" s="61"/>
      <c r="K814" s="61"/>
      <c r="L814" s="6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61"/>
      <c r="J815" s="61"/>
      <c r="K815" s="61"/>
      <c r="L815" s="6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61"/>
      <c r="J816" s="61"/>
      <c r="K816" s="61"/>
      <c r="L816" s="6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61"/>
      <c r="J817" s="61"/>
      <c r="K817" s="61"/>
      <c r="L817" s="6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61"/>
      <c r="J818" s="61"/>
      <c r="K818" s="61"/>
      <c r="L818" s="6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61"/>
      <c r="J819" s="61"/>
      <c r="K819" s="61"/>
      <c r="L819" s="6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61"/>
      <c r="J820" s="61"/>
      <c r="K820" s="61"/>
      <c r="L820" s="6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61"/>
      <c r="J821" s="61"/>
      <c r="K821" s="61"/>
      <c r="L821" s="6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61"/>
      <c r="J822" s="61"/>
      <c r="K822" s="61"/>
      <c r="L822" s="6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61"/>
      <c r="J823" s="61"/>
      <c r="K823" s="61"/>
      <c r="L823" s="6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61"/>
      <c r="J824" s="61"/>
      <c r="K824" s="61"/>
      <c r="L824" s="6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61"/>
      <c r="J825" s="61"/>
      <c r="K825" s="61"/>
      <c r="L825" s="6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61"/>
      <c r="J826" s="61"/>
      <c r="K826" s="61"/>
      <c r="L826" s="6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61"/>
      <c r="J827" s="61"/>
      <c r="K827" s="61"/>
      <c r="L827" s="6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61"/>
      <c r="J828" s="61"/>
      <c r="K828" s="61"/>
      <c r="L828" s="6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61"/>
      <c r="J829" s="61"/>
      <c r="K829" s="61"/>
      <c r="L829" s="6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61"/>
      <c r="J830" s="61"/>
      <c r="K830" s="61"/>
      <c r="L830" s="6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61"/>
      <c r="J831" s="61"/>
      <c r="K831" s="61"/>
      <c r="L831" s="6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61"/>
      <c r="J832" s="61"/>
      <c r="K832" s="61"/>
      <c r="L832" s="6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61"/>
      <c r="J833" s="61"/>
      <c r="K833" s="61"/>
      <c r="L833" s="6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61"/>
      <c r="J834" s="61"/>
      <c r="K834" s="61"/>
      <c r="L834" s="6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61"/>
      <c r="J835" s="61"/>
      <c r="K835" s="61"/>
      <c r="L835" s="6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61"/>
      <c r="J836" s="61"/>
      <c r="K836" s="61"/>
      <c r="L836" s="6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61"/>
      <c r="J837" s="61"/>
      <c r="K837" s="61"/>
      <c r="L837" s="6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61"/>
      <c r="J838" s="61"/>
      <c r="K838" s="61"/>
      <c r="L838" s="6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61"/>
      <c r="J839" s="61"/>
      <c r="K839" s="61"/>
      <c r="L839" s="6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61"/>
      <c r="J840" s="61"/>
      <c r="K840" s="61"/>
      <c r="L840" s="6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61"/>
      <c r="J841" s="61"/>
      <c r="K841" s="61"/>
      <c r="L841" s="6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61"/>
      <c r="J842" s="61"/>
      <c r="K842" s="61"/>
      <c r="L842" s="6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61"/>
      <c r="J843" s="61"/>
      <c r="K843" s="61"/>
      <c r="L843" s="6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61"/>
      <c r="J844" s="61"/>
      <c r="K844" s="61"/>
      <c r="L844" s="6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61"/>
      <c r="J845" s="61"/>
      <c r="K845" s="61"/>
      <c r="L845" s="6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61"/>
      <c r="J846" s="61"/>
      <c r="K846" s="61"/>
      <c r="L846" s="6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61"/>
      <c r="J847" s="61"/>
      <c r="K847" s="61"/>
      <c r="L847" s="6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61"/>
      <c r="J848" s="61"/>
      <c r="K848" s="61"/>
      <c r="L848" s="6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61"/>
      <c r="J849" s="61"/>
      <c r="K849" s="61"/>
      <c r="L849" s="6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61"/>
      <c r="J850" s="61"/>
      <c r="K850" s="61"/>
      <c r="L850" s="6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61"/>
      <c r="J851" s="61"/>
      <c r="K851" s="61"/>
      <c r="L851" s="6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61"/>
      <c r="J852" s="61"/>
      <c r="K852" s="61"/>
      <c r="L852" s="6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61"/>
      <c r="J853" s="61"/>
      <c r="K853" s="61"/>
      <c r="L853" s="6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61"/>
      <c r="J854" s="61"/>
      <c r="K854" s="61"/>
      <c r="L854" s="6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61"/>
      <c r="J855" s="61"/>
      <c r="K855" s="61"/>
      <c r="L855" s="6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61"/>
      <c r="J856" s="61"/>
      <c r="K856" s="61"/>
      <c r="L856" s="6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61"/>
      <c r="J857" s="61"/>
      <c r="K857" s="61"/>
      <c r="L857" s="6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61"/>
      <c r="J858" s="61"/>
      <c r="K858" s="61"/>
      <c r="L858" s="6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61"/>
      <c r="J859" s="61"/>
      <c r="K859" s="61"/>
      <c r="L859" s="6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61"/>
      <c r="J860" s="61"/>
      <c r="K860" s="61"/>
      <c r="L860" s="6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61"/>
      <c r="J861" s="61"/>
      <c r="K861" s="61"/>
      <c r="L861" s="6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61"/>
      <c r="J862" s="61"/>
      <c r="K862" s="61"/>
      <c r="L862" s="6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61"/>
      <c r="J863" s="61"/>
      <c r="K863" s="61"/>
      <c r="L863" s="6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61"/>
      <c r="J864" s="61"/>
      <c r="K864" s="61"/>
      <c r="L864" s="6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61"/>
      <c r="J865" s="61"/>
      <c r="K865" s="61"/>
      <c r="L865" s="6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61"/>
      <c r="J866" s="61"/>
      <c r="K866" s="61"/>
      <c r="L866" s="6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61"/>
      <c r="J867" s="61"/>
      <c r="K867" s="61"/>
      <c r="L867" s="6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61"/>
      <c r="J868" s="61"/>
      <c r="K868" s="61"/>
      <c r="L868" s="6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61"/>
      <c r="J869" s="61"/>
      <c r="K869" s="61"/>
      <c r="L869" s="6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61"/>
      <c r="J870" s="61"/>
      <c r="K870" s="61"/>
      <c r="L870" s="6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61"/>
      <c r="J871" s="61"/>
      <c r="K871" s="61"/>
      <c r="L871" s="6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61"/>
      <c r="J872" s="61"/>
      <c r="K872" s="61"/>
      <c r="L872" s="6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61"/>
      <c r="J873" s="61"/>
      <c r="K873" s="61"/>
      <c r="L873" s="6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61"/>
      <c r="J874" s="61"/>
      <c r="K874" s="61"/>
      <c r="L874" s="6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61"/>
      <c r="J875" s="61"/>
      <c r="K875" s="61"/>
      <c r="L875" s="6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61"/>
      <c r="J876" s="61"/>
      <c r="K876" s="61"/>
      <c r="L876" s="6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61"/>
      <c r="J877" s="61"/>
      <c r="K877" s="61"/>
      <c r="L877" s="6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61"/>
      <c r="J878" s="61"/>
      <c r="K878" s="61"/>
      <c r="L878" s="6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61"/>
      <c r="J879" s="61"/>
      <c r="K879" s="61"/>
      <c r="L879" s="6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61"/>
      <c r="J880" s="61"/>
      <c r="K880" s="61"/>
      <c r="L880" s="6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61"/>
      <c r="J881" s="61"/>
      <c r="K881" s="61"/>
      <c r="L881" s="6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61"/>
      <c r="J882" s="61"/>
      <c r="K882" s="61"/>
      <c r="L882" s="6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61"/>
      <c r="J883" s="61"/>
      <c r="K883" s="61"/>
      <c r="L883" s="6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61"/>
      <c r="J884" s="61"/>
      <c r="K884" s="61"/>
      <c r="L884" s="6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61"/>
      <c r="J885" s="61"/>
      <c r="K885" s="61"/>
      <c r="L885" s="6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61"/>
      <c r="J886" s="61"/>
      <c r="K886" s="61"/>
      <c r="L886" s="6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61"/>
      <c r="J887" s="61"/>
      <c r="K887" s="61"/>
      <c r="L887" s="6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61"/>
      <c r="J888" s="61"/>
      <c r="K888" s="61"/>
      <c r="L888" s="6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61"/>
      <c r="J889" s="61"/>
      <c r="K889" s="61"/>
      <c r="L889" s="6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61"/>
      <c r="J890" s="61"/>
      <c r="K890" s="61"/>
      <c r="L890" s="6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61"/>
      <c r="J891" s="61"/>
      <c r="K891" s="61"/>
      <c r="L891" s="6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61"/>
      <c r="J892" s="61"/>
      <c r="K892" s="61"/>
      <c r="L892" s="6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61"/>
      <c r="J893" s="61"/>
      <c r="K893" s="61"/>
      <c r="L893" s="6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61"/>
      <c r="J894" s="61"/>
      <c r="K894" s="61"/>
      <c r="L894" s="6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61"/>
      <c r="J895" s="61"/>
      <c r="K895" s="61"/>
      <c r="L895" s="6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61"/>
      <c r="J896" s="61"/>
      <c r="K896" s="61"/>
      <c r="L896" s="6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61"/>
      <c r="J897" s="61"/>
      <c r="K897" s="61"/>
      <c r="L897" s="6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61"/>
      <c r="J898" s="61"/>
      <c r="K898" s="61"/>
      <c r="L898" s="6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61"/>
      <c r="J899" s="61"/>
      <c r="K899" s="61"/>
      <c r="L899" s="6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61"/>
      <c r="J900" s="61"/>
      <c r="K900" s="61"/>
      <c r="L900" s="6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61"/>
      <c r="J901" s="61"/>
      <c r="K901" s="61"/>
      <c r="L901" s="6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61"/>
      <c r="J902" s="61"/>
      <c r="K902" s="61"/>
      <c r="L902" s="6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61"/>
      <c r="J903" s="61"/>
      <c r="K903" s="61"/>
      <c r="L903" s="6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61"/>
      <c r="J904" s="61"/>
      <c r="K904" s="61"/>
      <c r="L904" s="6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61"/>
      <c r="J905" s="61"/>
      <c r="K905" s="61"/>
      <c r="L905" s="6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61"/>
      <c r="J906" s="61"/>
      <c r="K906" s="61"/>
      <c r="L906" s="6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61"/>
      <c r="J907" s="61"/>
      <c r="K907" s="61"/>
      <c r="L907" s="6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61"/>
      <c r="J908" s="61"/>
      <c r="K908" s="61"/>
      <c r="L908" s="6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61"/>
      <c r="J909" s="61"/>
      <c r="K909" s="61"/>
      <c r="L909" s="6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61"/>
      <c r="J910" s="61"/>
      <c r="K910" s="61"/>
      <c r="L910" s="6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61"/>
      <c r="J911" s="61"/>
      <c r="K911" s="61"/>
      <c r="L911" s="6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61"/>
      <c r="J912" s="61"/>
      <c r="K912" s="61"/>
      <c r="L912" s="6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61"/>
      <c r="J913" s="61"/>
      <c r="K913" s="61"/>
      <c r="L913" s="6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61"/>
      <c r="J914" s="61"/>
      <c r="K914" s="61"/>
      <c r="L914" s="6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61"/>
      <c r="J915" s="61"/>
      <c r="K915" s="61"/>
      <c r="L915" s="6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61"/>
      <c r="J916" s="61"/>
      <c r="K916" s="61"/>
      <c r="L916" s="6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61"/>
      <c r="J917" s="61"/>
      <c r="K917" s="61"/>
      <c r="L917" s="6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61"/>
      <c r="J918" s="61"/>
      <c r="K918" s="61"/>
      <c r="L918" s="6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61"/>
      <c r="J919" s="61"/>
      <c r="K919" s="61"/>
      <c r="L919" s="6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61"/>
      <c r="J920" s="61"/>
      <c r="K920" s="61"/>
      <c r="L920" s="6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61"/>
      <c r="J921" s="61"/>
      <c r="K921" s="61"/>
      <c r="L921" s="6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61"/>
      <c r="J922" s="61"/>
      <c r="K922" s="61"/>
      <c r="L922" s="6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61"/>
      <c r="J923" s="61"/>
      <c r="K923" s="61"/>
      <c r="L923" s="6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61"/>
      <c r="J924" s="61"/>
      <c r="K924" s="61"/>
      <c r="L924" s="6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61"/>
      <c r="J925" s="61"/>
      <c r="K925" s="61"/>
      <c r="L925" s="6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61"/>
      <c r="J926" s="61"/>
      <c r="K926" s="61"/>
      <c r="L926" s="6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61"/>
      <c r="J927" s="61"/>
      <c r="K927" s="61"/>
      <c r="L927" s="6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61"/>
      <c r="J928" s="61"/>
      <c r="K928" s="61"/>
      <c r="L928" s="6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61"/>
      <c r="J929" s="61"/>
      <c r="K929" s="61"/>
      <c r="L929" s="6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61"/>
      <c r="J930" s="61"/>
      <c r="K930" s="61"/>
      <c r="L930" s="6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61"/>
      <c r="J931" s="61"/>
      <c r="K931" s="61"/>
      <c r="L931" s="6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61"/>
      <c r="J932" s="61"/>
      <c r="K932" s="61"/>
      <c r="L932" s="6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61"/>
      <c r="J933" s="61"/>
      <c r="K933" s="61"/>
      <c r="L933" s="6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61"/>
      <c r="J934" s="61"/>
      <c r="K934" s="61"/>
      <c r="L934" s="6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61"/>
      <c r="J935" s="61"/>
      <c r="K935" s="61"/>
      <c r="L935" s="6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61"/>
      <c r="J936" s="61"/>
      <c r="K936" s="61"/>
      <c r="L936" s="6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61"/>
      <c r="J937" s="61"/>
      <c r="K937" s="61"/>
      <c r="L937" s="6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61"/>
      <c r="J938" s="61"/>
      <c r="K938" s="61"/>
      <c r="L938" s="6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61"/>
      <c r="J939" s="61"/>
      <c r="K939" s="61"/>
      <c r="L939" s="6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61"/>
      <c r="J940" s="61"/>
      <c r="K940" s="61"/>
      <c r="L940" s="6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61"/>
      <c r="J941" s="61"/>
      <c r="K941" s="61"/>
      <c r="L941" s="6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61"/>
      <c r="J942" s="61"/>
      <c r="K942" s="61"/>
      <c r="L942" s="6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61"/>
      <c r="J943" s="61"/>
      <c r="K943" s="61"/>
      <c r="L943" s="6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61"/>
      <c r="J944" s="61"/>
      <c r="K944" s="61"/>
      <c r="L944" s="6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61"/>
      <c r="J945" s="61"/>
      <c r="K945" s="61"/>
      <c r="L945" s="6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61"/>
      <c r="J946" s="61"/>
      <c r="K946" s="61"/>
      <c r="L946" s="6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61"/>
      <c r="J947" s="61"/>
      <c r="K947" s="61"/>
      <c r="L947" s="6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61"/>
      <c r="J948" s="61"/>
      <c r="K948" s="61"/>
      <c r="L948" s="6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61"/>
      <c r="J949" s="61"/>
      <c r="K949" s="61"/>
      <c r="L949" s="6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61"/>
      <c r="J950" s="61"/>
      <c r="K950" s="61"/>
      <c r="L950" s="6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61"/>
      <c r="J951" s="61"/>
      <c r="K951" s="61"/>
      <c r="L951" s="6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61"/>
      <c r="J952" s="61"/>
      <c r="K952" s="61"/>
      <c r="L952" s="6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61"/>
      <c r="J953" s="61"/>
      <c r="K953" s="61"/>
      <c r="L953" s="6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61"/>
      <c r="J954" s="61"/>
      <c r="K954" s="61"/>
      <c r="L954" s="6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61"/>
      <c r="J955" s="61"/>
      <c r="K955" s="61"/>
      <c r="L955" s="6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61"/>
      <c r="J956" s="61"/>
      <c r="K956" s="61"/>
      <c r="L956" s="6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61"/>
      <c r="J957" s="61"/>
      <c r="K957" s="61"/>
      <c r="L957" s="6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61"/>
      <c r="J958" s="61"/>
      <c r="K958" s="61"/>
      <c r="L958" s="6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61"/>
      <c r="J959" s="61"/>
      <c r="K959" s="61"/>
      <c r="L959" s="6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61"/>
      <c r="J960" s="61"/>
      <c r="K960" s="61"/>
      <c r="L960" s="6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61"/>
      <c r="J961" s="61"/>
      <c r="K961" s="61"/>
      <c r="L961" s="6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61"/>
      <c r="J962" s="61"/>
      <c r="K962" s="61"/>
      <c r="L962" s="6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61"/>
      <c r="J963" s="61"/>
      <c r="K963" s="61"/>
      <c r="L963" s="6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61"/>
      <c r="J964" s="61"/>
      <c r="K964" s="61"/>
      <c r="L964" s="6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61"/>
      <c r="J965" s="61"/>
      <c r="K965" s="61"/>
      <c r="L965" s="6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61"/>
      <c r="J966" s="61"/>
      <c r="K966" s="61"/>
      <c r="L966" s="6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61"/>
      <c r="J967" s="61"/>
      <c r="K967" s="61"/>
      <c r="L967" s="6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61"/>
      <c r="J968" s="61"/>
      <c r="K968" s="61"/>
      <c r="L968" s="6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61"/>
      <c r="J969" s="61"/>
      <c r="K969" s="61"/>
      <c r="L969" s="6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61"/>
      <c r="J970" s="61"/>
      <c r="K970" s="61"/>
      <c r="L970" s="6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61"/>
      <c r="J971" s="61"/>
      <c r="K971" s="61"/>
      <c r="L971" s="6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61"/>
      <c r="J972" s="61"/>
      <c r="K972" s="61"/>
      <c r="L972" s="6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61"/>
      <c r="J973" s="61"/>
      <c r="K973" s="61"/>
      <c r="L973" s="6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61"/>
      <c r="J974" s="61"/>
      <c r="K974" s="61"/>
      <c r="L974" s="6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61"/>
      <c r="J975" s="61"/>
      <c r="K975" s="61"/>
      <c r="L975" s="6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61"/>
      <c r="J976" s="61"/>
      <c r="K976" s="61"/>
      <c r="L976" s="6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61"/>
      <c r="J977" s="61"/>
      <c r="K977" s="61"/>
      <c r="L977" s="6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61"/>
      <c r="J978" s="61"/>
      <c r="K978" s="61"/>
      <c r="L978" s="6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61"/>
      <c r="J979" s="61"/>
      <c r="K979" s="61"/>
      <c r="L979" s="6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61"/>
      <c r="J980" s="61"/>
      <c r="K980" s="61"/>
      <c r="L980" s="6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61"/>
      <c r="J981" s="61"/>
      <c r="K981" s="61"/>
      <c r="L981" s="6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61"/>
      <c r="J982" s="61"/>
      <c r="K982" s="61"/>
      <c r="L982" s="6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61"/>
      <c r="J983" s="61"/>
      <c r="K983" s="61"/>
      <c r="L983" s="6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61"/>
      <c r="J984" s="61"/>
      <c r="K984" s="61"/>
      <c r="L984" s="6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61"/>
      <c r="J985" s="61"/>
      <c r="K985" s="61"/>
      <c r="L985" s="6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61"/>
      <c r="J986" s="61"/>
      <c r="K986" s="61"/>
      <c r="L986" s="6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61"/>
      <c r="J987" s="61"/>
      <c r="K987" s="61"/>
      <c r="L987" s="6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61"/>
      <c r="J988" s="61"/>
      <c r="K988" s="61"/>
      <c r="L988" s="6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61"/>
      <c r="J989" s="61"/>
      <c r="K989" s="61"/>
      <c r="L989" s="6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61"/>
      <c r="J990" s="61"/>
      <c r="K990" s="61"/>
      <c r="L990" s="6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61"/>
      <c r="J991" s="61"/>
      <c r="K991" s="61"/>
      <c r="L991" s="6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61"/>
      <c r="J992" s="61"/>
      <c r="K992" s="61"/>
      <c r="L992" s="6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61"/>
      <c r="J993" s="61"/>
      <c r="K993" s="61"/>
      <c r="L993" s="6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61"/>
      <c r="J994" s="61"/>
      <c r="K994" s="61"/>
      <c r="L994" s="6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61"/>
      <c r="J995" s="61"/>
      <c r="K995" s="61"/>
      <c r="L995" s="6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61"/>
      <c r="J996" s="61"/>
      <c r="K996" s="61"/>
      <c r="L996" s="6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61"/>
      <c r="J997" s="61"/>
      <c r="K997" s="61"/>
      <c r="L997" s="6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61"/>
      <c r="J998" s="61"/>
      <c r="K998" s="61"/>
      <c r="L998" s="6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61"/>
      <c r="J999" s="61"/>
      <c r="K999" s="61"/>
      <c r="L999" s="6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61"/>
      <c r="J1000" s="61"/>
      <c r="K1000" s="61"/>
      <c r="L1000" s="6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61"/>
      <c r="J1001" s="61"/>
      <c r="K1001" s="61"/>
      <c r="L1001" s="6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61"/>
      <c r="J1002" s="61"/>
      <c r="K1002" s="61"/>
      <c r="L1002" s="6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4">
    <mergeCell ref="A2:O2"/>
    <mergeCell ref="A3:O3"/>
    <mergeCell ref="A4:O5"/>
    <mergeCell ref="N8:O8"/>
  </mergeCells>
  <dataValidations>
    <dataValidation type="list" allowBlank="1" showErrorMessage="1" sqref="A7:A95">
      <formula1>"Pix,Cartão,Pacote ,Pago "</formula1>
    </dataValidation>
    <dataValidation type="list" allowBlank="1" showErrorMessage="1" sqref="D7:D95">
      <formula1>"White board,Cartoon ,3D ,3D personalizado,3D Premium,VSL,Logo,Post,Influencer Pamela,Influencer João B.,3D Estatico ,3D Realista,Edição audio,Pov,Flow,Personalização,Explainer"</formula1>
    </dataValidation>
    <dataValidation type="list" allowBlank="1" showErrorMessage="1" sqref="C7:C95 H7:H95">
      <formula1>"Vinicius,Kaua,Caio,Julia,Jhonatas,Diogo,Caio Ferreira,Pamelah,Caio Alves,Camila,Wiliam ,Gabriel ,Fernanda,Kaua Pessoni,Gabriel Batista,Gustavo Pereira,Demetrio ,Caio Vinicius,Wesley"</formula1>
    </dataValidation>
  </dataValidations>
  <drawing r:id="rId1"/>
</worksheet>
</file>